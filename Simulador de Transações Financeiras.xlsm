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900f0e20bb21b16/Documentos/Excel/"/>
    </mc:Choice>
  </mc:AlternateContent>
  <xr:revisionPtr revIDLastSave="1745" documentId="13_ncr:201_{B95F2DB2-9230-4289-849C-F142BE416980}" xr6:coauthVersionLast="47" xr6:coauthVersionMax="47" xr10:uidLastSave="{CF18FA5B-7164-497C-849C-E0442E164AC8}"/>
  <bookViews>
    <workbookView xWindow="-120" yWindow="-120" windowWidth="38640" windowHeight="15840" activeTab="3" xr2:uid="{0B524D0C-490D-43CC-A1FC-85EE125C0E35}"/>
  </bookViews>
  <sheets>
    <sheet name="Hist_Cotações" sheetId="3" r:id="rId1"/>
    <sheet name="Aux_Cotações" sheetId="2" r:id="rId2"/>
    <sheet name="Aux_Controle" sheetId="4" r:id="rId3"/>
    <sheet name="Controle" sheetId="1" r:id="rId4"/>
  </sheets>
  <definedNames>
    <definedName name="_xlnm._FilterDatabase" localSheetId="1" hidden="1">Aux_Cotações!$M$1:$Q$5</definedName>
    <definedName name="_xlcn.WorksheetConnection_VBA.xlsmt_Hist_Cotações1" hidden="1">t_Hist_Cotações[]</definedName>
    <definedName name="_xlcn.WorksheetConnection_VBA.xlsmt_Hist_Simul_Tran1" hidden="1">t_Hist_Simul_Tran[]</definedName>
    <definedName name="_xleta.LARGE" hidden="1" xlm="1">#NAME?</definedName>
    <definedName name="DadosExternos_2" localSheetId="1" hidden="1">Aux_Cotações!$A$1:$B$3</definedName>
    <definedName name="fx_tipo_moeda">t_Tipo_Tran[Nm_Moeda]</definedName>
    <definedName name="fx_tipo_tran">t_Tipo_Tran[Tipo_Transação]</definedName>
  </definedNames>
  <calcPr calcId="191029"/>
  <pivotCaches>
    <pivotCache cacheId="523" r:id="rId5"/>
    <pivotCache cacheId="526" r:id="rId6"/>
    <pivotCache cacheId="529" r:id="rId7"/>
    <pivotCache cacheId="532" r:id="rId8"/>
  </pivotCaches>
  <extLst>
    <ext xmlns:x15="http://schemas.microsoft.com/office/spreadsheetml/2010/11/main" uri="{841E416B-1EF1-43b6-AB56-02D37102CBD5}">
      <x15:pivotCaches>
        <pivotCache cacheId="454" r:id="rId9"/>
        <pivotCache cacheId="457" r:id="rId10"/>
        <pivotCache cacheId="460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Gráf_USD_Hist_Cotações_92d59087-1a6e-4e32-85c1-7498335ecae5" name="Gráf_USD_Hist_Cotações" connection="Consulta - Gráf_USD_Hist_Cotações"/>
          <x15:modelTable id="Gráf_BTC_Hist_Cotações_913ec6a5-bc16-4a7f-96cd-243e726f02d1" name="Gráf_BTC_Hist_Cotações" connection="Consulta - Gráf_BTC_Hist_Cotações"/>
          <x15:modelTable id="Gráf_Var_Perc_fe5f1c2e-bc32-4c7f-a675-a2b4b976bb29" name="Gráf_Var_Perc" connection="Consulta - Gráf_Var_Perc"/>
          <x15:modelTable id="Gráf_Var_Perc_Aux_Ant_61c758b4-8159-4937-8c58-2f6221d4422b" name="Gráf_Var_Perc_Aux_Ant" connection="Consulta - Gráf_Var_Perc_Aux_Ant"/>
          <x15:modelTable id="t_Hist_Simul_Tran" name="t_Hist_Simul_Tran" connection="WorksheetConnection_VBA.xlsm!t_Hist_Simul_Tran"/>
          <x15:modelTable id="t_Hist_Cotações" name="t_Hist_Cotações" connection="WorksheetConnection_VBA.xlsm!t_Hist_Cotações"/>
        </x15:modelTables>
        <x15:extLst>
          <ext xmlns:x16="http://schemas.microsoft.com/office/spreadsheetml/2014/11/main" uri="{9835A34E-60A6-4A7C-AAB8-D5F71C897F49}">
            <x16:modelTimeGroupings>
              <x16:modelTimeGrouping tableName="Gráf_BTC_Hist_Cotações" columnName="Hora" columnId="Hora">
                <x16:calculatedTimeColumn columnName="Hora (Hora)" columnId="Hora (Hora)" contentType="hours" isSelected="1"/>
                <x16:calculatedTimeColumn columnName="Hora (Minuto)" columnId="Hora (Minuto)" contentType="minutes" isSelected="1"/>
                <x16:calculatedTimeColumn columnName="Hora (Segundo)" columnId="Hora (Segundo)" contentType="seconds" isSelected="1"/>
              </x16:modelTimeGrouping>
              <x16:modelTimeGrouping tableName="t_Hist_Cotações" columnName="Hora" columnId="Hora">
                <x16:calculatedTimeColumn columnName="Hora (Hora)" columnId="Hora (Hora)" contentType="hours" isSelected="1"/>
                <x16:calculatedTimeColumn columnName="Hora (Minuto)" columnId="Hora (Minuto)" contentType="minutes" isSelected="1"/>
              </x16:modelTimeGrouping>
              <x16:modelTimeGrouping tableName="Gráf_Var_Perc" columnName="Hora" columnId="Hora">
                <x16:calculatedTimeColumn columnName="Hora (Hora)" columnId="Hora (Hora)" contentType="hours" isSelected="1"/>
                <x16:calculatedTimeColumn columnName="Hora (Minuto)" columnId="Hora (Minuto)" contentType="minute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1" l="1" a="1"/>
  <c r="H23" i="1" s="1"/>
  <c r="H22" i="1" a="1"/>
  <c r="H22" i="1" s="1"/>
  <c r="H21" i="1" a="1"/>
  <c r="H21" i="1" s="1"/>
  <c r="H20" i="1" a="1"/>
  <c r="H20" i="1" s="1"/>
  <c r="H19" i="1" a="1"/>
  <c r="H19" i="1" s="1"/>
  <c r="H18" i="1" a="1"/>
  <c r="H18" i="1" s="1"/>
  <c r="H17" i="1" a="1"/>
  <c r="H17" i="1" s="1"/>
  <c r="H16" i="1" a="1"/>
  <c r="H16" i="1" s="1"/>
  <c r="H15" i="1" a="1"/>
  <c r="H15" i="1" s="1"/>
  <c r="H14" i="1" a="1"/>
  <c r="H14" i="1" s="1"/>
  <c r="H13" i="1" a="1"/>
  <c r="H13" i="1" s="1"/>
  <c r="H12" i="1" a="1"/>
  <c r="H12" i="1" s="1"/>
  <c r="H11" i="1" a="1"/>
  <c r="H11" i="1" s="1"/>
  <c r="H10" i="1" a="1"/>
  <c r="H10" i="1" s="1"/>
  <c r="H9" i="1" a="1"/>
  <c r="H9" i="1" s="1"/>
  <c r="G3" i="2"/>
  <c r="G2" i="2"/>
  <c r="G5" i="2" a="1"/>
  <c r="G5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7C59B0-26B0-4E9A-884E-596BA1E17D5C}" keepAlive="1" name="Consulta - c_USD_BTC_to_BRL" description="Conexão com a consulta 'c_USD_BTC_to_BRL' na pasta de trabalho." type="5" refreshedVersion="8" saveData="1">
    <dbPr connection="Provider=Microsoft.Mashup.OleDb.1;Data Source=$Workbook$;Location=c_USD_BTC_to_BRL;Extended Properties=&quot;&quot;" command="SELECT * FROM [c_USD_BTC_to_BRL]"/>
  </connection>
  <connection id="2" xr16:uid="{B10E2F04-49E0-4E79-BF05-98F20F8DBF84}" name="Consulta - Gráf_BTC_Hist_Cotações" description="Conexão com a consulta 'Gráf_BTC_Hist_Cotações' na pasta de trabalho." type="100" refreshedVersion="8" minRefreshableVersion="5" background="1" saveData="1">
    <extLst>
      <ext xmlns:x15="http://schemas.microsoft.com/office/spreadsheetml/2010/11/main" uri="{DE250136-89BD-433C-8126-D09CA5730AF9}">
        <x15:connection id="55c8b52c-346f-4ffd-ac63-a24279be974e"/>
      </ext>
    </extLst>
  </connection>
  <connection id="3" xr16:uid="{CDC6D10E-1456-4607-9226-D2EF581B127A}" name="Consulta - Gráf_USD_Hist_Cotações" description="Conexão com a consulta 'Gráf_USD_Hist_Cotações' na pasta de trabalho." type="100" refreshedVersion="8" minRefreshableVersion="5">
    <extLst>
      <ext xmlns:x15="http://schemas.microsoft.com/office/spreadsheetml/2010/11/main" uri="{DE250136-89BD-433C-8126-D09CA5730AF9}">
        <x15:connection id="151441ac-822f-49a7-9246-5df263cbdd1a"/>
      </ext>
    </extLst>
  </connection>
  <connection id="4" xr16:uid="{B57B78C5-0F50-4504-AE8C-158791CB4A81}" name="Consulta - Gráf_Var_Perc" description="Conexão com a consulta 'Gráf_Var_Perc' na pasta de trabalho." type="100" refreshedVersion="8" minRefreshableVersion="5">
    <extLst>
      <ext xmlns:x15="http://schemas.microsoft.com/office/spreadsheetml/2010/11/main" uri="{DE250136-89BD-433C-8126-D09CA5730AF9}">
        <x15:connection id="df948dc5-e2e1-4456-8431-c36fd2d4a568"/>
      </ext>
    </extLst>
  </connection>
  <connection id="5" xr16:uid="{65180341-315A-445A-A2DC-40D4E1B583D8}" name="Consulta - Gráf_Var_Perc_Aux_Ant" description="Conexão com a consulta 'Gráf_Var_Perc_Aux_Ant' na pasta de trabalho." type="100" refreshedVersion="8" minRefreshableVersion="5">
    <extLst>
      <ext xmlns:x15="http://schemas.microsoft.com/office/spreadsheetml/2010/11/main" uri="{DE250136-89BD-433C-8126-D09CA5730AF9}">
        <x15:connection id="3407f1b4-9459-4198-aa99-3572d445e76e"/>
      </ext>
    </extLst>
  </connection>
  <connection id="6" xr16:uid="{90821A4D-AA5A-4230-9480-AA5B172BEEA4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66676642-25B7-4817-9113-3CF0A0FD7443}" name="WorksheetConnection_VBA.xlsm!t_Hist_Cotações" type="102" refreshedVersion="8" minRefreshableVersion="5">
    <extLst>
      <ext xmlns:x15="http://schemas.microsoft.com/office/spreadsheetml/2010/11/main" uri="{DE250136-89BD-433C-8126-D09CA5730AF9}">
        <x15:connection id="t_Hist_Cotações">
          <x15:rangePr sourceName="_xlcn.WorksheetConnection_VBA.xlsmt_Hist_Cotações1"/>
        </x15:connection>
      </ext>
    </extLst>
  </connection>
  <connection id="8" xr16:uid="{348928CB-0359-435E-A5E1-B9F06B45CC47}" name="WorksheetConnection_VBA.xlsm!t_Hist_Simul_Tran" type="102" refreshedVersion="8" minRefreshableVersion="5">
    <extLst>
      <ext xmlns:x15="http://schemas.microsoft.com/office/spreadsheetml/2010/11/main" uri="{DE250136-89BD-433C-8126-D09CA5730AF9}">
        <x15:connection id="t_Hist_Simul_Tran" autoDelete="1">
          <x15:rangePr sourceName="_xlcn.WorksheetConnection_VBA.xlsmt_Hist_Simul_Tran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<sst xmlns="http://schemas.openxmlformats.org/spreadsheetml/2006/main" count="156" uniqueCount="33">
  <si>
    <t>Name</t>
  </si>
  <si>
    <t>Value</t>
  </si>
  <si>
    <t>Data</t>
  </si>
  <si>
    <t>Tipo</t>
  </si>
  <si>
    <t>Taxa Administração</t>
  </si>
  <si>
    <t>Valor Total</t>
  </si>
  <si>
    <t>bitcoin</t>
  </si>
  <si>
    <t>usd</t>
  </si>
  <si>
    <t>Moeda</t>
  </si>
  <si>
    <t>Cotação</t>
  </si>
  <si>
    <t>Hora</t>
  </si>
  <si>
    <t>Aux_Fx</t>
  </si>
  <si>
    <t>Last_Value</t>
  </si>
  <si>
    <t>Tipo_Transação</t>
  </si>
  <si>
    <t>Nm_Moeda</t>
  </si>
  <si>
    <t>Compra</t>
  </si>
  <si>
    <t>Venda</t>
  </si>
  <si>
    <t>Bitcoin</t>
  </si>
  <si>
    <t>Dólar</t>
  </si>
  <si>
    <t>Tx_Adm_Padrão</t>
  </si>
  <si>
    <t>Tx_Adm_Desconto</t>
  </si>
  <si>
    <t>ID_Tran</t>
  </si>
  <si>
    <t>Rng_Desconto</t>
  </si>
  <si>
    <t>Valor</t>
  </si>
  <si>
    <t>Desconto</t>
  </si>
  <si>
    <t>Rótulos de Linha</t>
  </si>
  <si>
    <t>Total Geral</t>
  </si>
  <si>
    <t>Contagem de Data</t>
  </si>
  <si>
    <t>Não</t>
  </si>
  <si>
    <t>Sim</t>
  </si>
  <si>
    <t>Rótulos de Coluna</t>
  </si>
  <si>
    <t>Sem desconto</t>
  </si>
  <si>
    <t>Com 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</si>
</sst>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-[$R$-416]\ * #,##0.00_-;\-[$R$-416]\ * #,##0.00_-;_-[$R$-416]\ * &quot;-&quot;??_-;_-@_-"/>
    <numFmt numFmtId="165" formatCode="[$R$-416]\ #,##0.00"/>
    <numFmt numFmtId="166" formatCode="dd/mm/yy;@"/>
    <numFmt numFmtId="167" formatCode="h:mm:ss;@"/>
    <numFmt numFmtId="168" formatCode="h:mm;@"/>
    <numFmt numFmtId="169" formatCode="[$R$-416]\ #,##0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i/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/>
    <xf numFmtId="0" fontId="2" fillId="0" borderId="0" xfId="0" applyFont="1"/>
    <xf numFmtId="169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2" borderId="0" xfId="0" applyFill="1"/>
    <xf numFmtId="14" fontId="0" fillId="2" borderId="0" xfId="0" applyNumberFormat="1" applyFill="1"/>
    <xf numFmtId="19" fontId="0" fillId="2" borderId="0" xfId="0" applyNumberFormat="1" applyFill="1"/>
    <xf numFmtId="164" fontId="0" fillId="2" borderId="0" xfId="0" applyNumberFormat="1" applyFill="1"/>
  </cellXfs>
  <cellStyles count="2">
    <cellStyle name="Normal" xfId="0" builtinId="0"/>
    <cellStyle name="Porcentagem" xfId="1" builtinId="5"/>
  </cellStyles>
  <dxfs count="33">
    <dxf>
      <numFmt numFmtId="170" formatCode="&quot;$&quot;#,##0.00"/>
    </dxf>
    <dxf>
      <numFmt numFmtId="171" formatCode="[$₿]\ #,##0.0000" x16r2:formatCode16="[$₿-x-xbt2]\ #,##0.0000"/>
    </dxf>
    <dxf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numFmt numFmtId="165" formatCode="[$R$-416]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65" formatCode="[$R$-416]\ 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[$R$-416]\ #,##0.00"/>
      <alignment horizontal="center" vertical="center" textRotation="0" wrapText="0" indent="0" justifyLastLine="0" shrinkToFit="0" readingOrder="0"/>
    </dxf>
    <dxf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[$R$-416]\ 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h:mm:ss;@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6EBAC605-DEA2-4418-ACFE-B05EBC88012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pivotCacheDefinition" Target="pivotCache/pivotCacheDefinition3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6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pivotTable" Target="pivotTables/pivotTable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Histórico das Últimas 10 Cotações do Dólar (USD/BRL)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9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7777777777777776E-2"/>
          <c:y val="0.24494444444444444"/>
          <c:w val="0.94444444444444442"/>
          <c:h val="0.47326902887139105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9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1:43:08 PM
3/3/2025</c:v>
              </c:pt>
              <c:pt idx="1">
                <c:v>2:45:32 PM
3/4/2025</c:v>
              </c:pt>
              <c:pt idx="2">
                <c:v>8:55:46 AM
3/5/2025</c:v>
              </c:pt>
              <c:pt idx="3">
                <c:v>4:48:42 PM
3/5/2025</c:v>
              </c:pt>
              <c:pt idx="4">
                <c:v>5:34:11 PM
3/5/2025</c:v>
              </c:pt>
              <c:pt idx="5">
                <c:v>7:11:47 PM
3/5/2025</c:v>
              </c:pt>
              <c:pt idx="6">
                <c:v>11:44:44 AM
3/6/2025</c:v>
              </c:pt>
              <c:pt idx="7">
                <c:v>12:06:35 PM
3/6/2025</c:v>
              </c:pt>
              <c:pt idx="8">
                <c:v>12:41:33 PM
3/6/2025</c:v>
              </c:pt>
              <c:pt idx="9">
                <c:v>4:44:43 PM
3/6/2025</c:v>
              </c:pt>
            </c:strLit>
          </c:cat>
          <c:val>
            <c:numLit>
              <c:formatCode>[$R$-416]\ #,##0.00</c:formatCode>
              <c:ptCount val="10"/>
              <c:pt idx="0">
                <c:v>5.96</c:v>
              </c:pt>
              <c:pt idx="1">
                <c:v>6.16</c:v>
              </c:pt>
              <c:pt idx="2">
                <c:v>5.88</c:v>
              </c:pt>
              <c:pt idx="3">
                <c:v>5.76</c:v>
              </c:pt>
              <c:pt idx="4">
                <c:v>5.77</c:v>
              </c:pt>
              <c:pt idx="5">
                <c:v>5.75</c:v>
              </c:pt>
              <c:pt idx="6">
                <c:v>5.74</c:v>
              </c:pt>
              <c:pt idx="7">
                <c:v>5.75</c:v>
              </c:pt>
              <c:pt idx="8">
                <c:v>5.74</c:v>
              </c:pt>
              <c:pt idx="9">
                <c:v>5.77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F352-4D66-A859-644B8E5CC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87120"/>
        <c:axId val="332690960"/>
      </c:lineChart>
      <c:catAx>
        <c:axId val="3326871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909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332690960"/>
        <c:scaling>
          <c:orientation val="minMax"/>
        </c:scaling>
        <c:delete val="1"/>
        <c:axPos val="l"/>
        <c:numFmt formatCode="[$R$-416]\ #,##0.00" sourceLinked="0"/>
        <c:majorTickMark val="none"/>
        <c:minorTickMark val="none"/>
        <c:tickLblPos val="nextTo"/>
        <c:crossAx val="332687120"/>
        <c:crosses val="autoZero"/>
        <c:crossBetween val="between"/>
        <c:extLst>
          <c:ext xmlns:c15="http://schemas.microsoft.com/office/drawing/2012/chart" uri="{F40574EE-89B7-4290-83BB-5DA773EAF853}">
            <c15:numFmt c:formatCode="[$R$-416]\ #,##0.00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[VBA.xlsm]PivotChartTable1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Histórico das Últimas 10 Cotações do Bitcoin (BTC/BRL)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9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25504636920384954"/>
          <c:w val="0.93888888888888888"/>
          <c:h val="0.46568722659667544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9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1:43:08 PM
3/3/2025</c:v>
              </c:pt>
              <c:pt idx="1">
                <c:v>2:45:32 PM
3/4/2025</c:v>
              </c:pt>
              <c:pt idx="2">
                <c:v>8:55:46 AM
3/5/2025</c:v>
              </c:pt>
              <c:pt idx="3">
                <c:v>4:48:42 PM
3/5/2025</c:v>
              </c:pt>
              <c:pt idx="4">
                <c:v>5:34:11 PM
3/5/2025</c:v>
              </c:pt>
              <c:pt idx="5">
                <c:v>7:11:47 PM
3/5/2025</c:v>
              </c:pt>
              <c:pt idx="6">
                <c:v>11:44:44 AM
3/6/2025</c:v>
              </c:pt>
              <c:pt idx="7">
                <c:v>12:06:35 PM
3/6/2025</c:v>
              </c:pt>
              <c:pt idx="8">
                <c:v>12:41:33 PM
3/6/2025</c:v>
              </c:pt>
              <c:pt idx="9">
                <c:v>4:44:43 PM
3/6/2025</c:v>
              </c:pt>
            </c:strLit>
          </c:cat>
          <c:val>
            <c:numLit>
              <c:formatCode>[$R$-416]\ #,##0</c:formatCode>
              <c:ptCount val="10"/>
              <c:pt idx="0">
                <c:v>536.35299999999995</c:v>
              </c:pt>
              <c:pt idx="1">
                <c:v>525.88400000000001</c:v>
              </c:pt>
              <c:pt idx="2">
                <c:v>528.02499999999998</c:v>
              </c:pt>
              <c:pt idx="3">
                <c:v>517.06100000000004</c:v>
              </c:pt>
              <c:pt idx="4">
                <c:v>519.61099999999999</c:v>
              </c:pt>
              <c:pt idx="5">
                <c:v>518.17999999999995</c:v>
              </c:pt>
              <c:pt idx="6">
                <c:v>513.68899999999996</c:v>
              </c:pt>
              <c:pt idx="7">
                <c:v>519.99400000000003</c:v>
              </c:pt>
              <c:pt idx="8">
                <c:v>525.30999999999995</c:v>
              </c:pt>
              <c:pt idx="9">
                <c:v>510.90600000000001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F352-4D66-A859-644B8E5CC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87120"/>
        <c:axId val="332690960"/>
      </c:lineChart>
      <c:catAx>
        <c:axId val="3326871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9096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332690960"/>
        <c:scaling>
          <c:orientation val="minMax"/>
        </c:scaling>
        <c:delete val="1"/>
        <c:axPos val="l"/>
        <c:numFmt formatCode="[$R$-416]\ #,##0" sourceLinked="0"/>
        <c:majorTickMark val="none"/>
        <c:minorTickMark val="none"/>
        <c:tickLblPos val="nextTo"/>
        <c:crossAx val="332687120"/>
        <c:crosses val="autoZero"/>
        <c:crossBetween val="between"/>
        <c:extLst>
          <c:ext xmlns:c15="http://schemas.microsoft.com/office/drawing/2012/chart" uri="{F40574EE-89B7-4290-83BB-5DA773EAF853}">
            <c15:numFmt c:formatCode="[$R$-416]\ #,##0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[VBA.xlsm]PivotChartTable2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[VBA.xlsm]Aux_Controle!Tab_Din_Tipo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9136759915061"/>
              <c:y val="3.88401712943776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75908413458368"/>
              <c:y val="-9.722226826909793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Aux_Controle!$C$5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7D-49E5-818D-7580ECAA62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7D-49E5-818D-7580ECAA62C1}"/>
              </c:ext>
            </c:extLst>
          </c:dPt>
          <c:dLbls>
            <c:dLbl>
              <c:idx val="0"/>
              <c:layout>
                <c:manualLayout>
                  <c:x val="0.1549136759915061"/>
                  <c:y val="3.8840171294377675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7D-49E5-818D-7580ECAA62C1}"/>
                </c:ext>
              </c:extLst>
            </c:dLbl>
            <c:dLbl>
              <c:idx val="1"/>
              <c:layout>
                <c:manualLayout>
                  <c:x val="-0.1375908413458368"/>
                  <c:y val="-9.7222268269097939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7D-49E5-818D-7580ECAA62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Aux_Controle!$B$6:$B$8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Aux_Controle!$C$6:$C$8</c:f>
              <c:numCache>
                <c:formatCode>General</c:formatCode>
                <c:ptCount val="2"/>
                <c:pt idx="0">
                  <c:v>12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7D-49E5-818D-7580ECAA62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[VBA.xlsm]Aux_Controle!Tab_Din_Moeda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Moeda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141283847056794"/>
              <c:y val="0.144103329189114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089067384164921"/>
              <c:y val="-0.11827489984804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Aux_Controle!$F$5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EC-4424-83F6-8ECFDB5C81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EC-4424-83F6-8ECFDB5C8114}"/>
              </c:ext>
            </c:extLst>
          </c:dPt>
          <c:dLbls>
            <c:dLbl>
              <c:idx val="0"/>
              <c:layout>
                <c:manualLayout>
                  <c:x val="0.12141283847056794"/>
                  <c:y val="0.1441033291891145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EC-4424-83F6-8ECFDB5C8114}"/>
                </c:ext>
              </c:extLst>
            </c:dLbl>
            <c:dLbl>
              <c:idx val="1"/>
              <c:layout>
                <c:manualLayout>
                  <c:x val="-0.13089067384164921"/>
                  <c:y val="-0.118274899848045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EC-4424-83F6-8ECFDB5C81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Aux_Controle!$E$6:$E$8</c:f>
              <c:strCache>
                <c:ptCount val="2"/>
                <c:pt idx="0">
                  <c:v>Bitcoin</c:v>
                </c:pt>
                <c:pt idx="1">
                  <c:v>Dólar</c:v>
                </c:pt>
              </c:strCache>
            </c:strRef>
          </c:cat>
          <c:val>
            <c:numRef>
              <c:f>Aux_Controle!$F$6:$F$8</c:f>
              <c:numCache>
                <c:formatCode>General</c:formatCode>
                <c:ptCount val="2"/>
                <c:pt idx="0">
                  <c:v>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EC-4424-83F6-8ECFDB5C81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[VBA.xlsm]Aux_Controle!Tab_Din_Desco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Desconto Aplicado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1111111111111012E-2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888888888888912E-2"/>
              <c:y val="-9.72222222222222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151334098313076"/>
              <c:y val="0.1370857853294653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749033883327399"/>
              <c:y val="-0.139327531426992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Aux_Controle!$I$5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57-4E10-BF86-20193BF2BC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257-4E10-BF86-20193BF2BCC3}"/>
              </c:ext>
            </c:extLst>
          </c:dPt>
          <c:dLbls>
            <c:dLbl>
              <c:idx val="0"/>
              <c:layout>
                <c:manualLayout>
                  <c:x val="0.14151334098313076"/>
                  <c:y val="0.1370857853294653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57-4E10-BF86-20193BF2BCC3}"/>
                </c:ext>
              </c:extLst>
            </c:dLbl>
            <c:dLbl>
              <c:idx val="1"/>
              <c:layout>
                <c:manualLayout>
                  <c:x val="-0.11749033883327399"/>
                  <c:y val="-0.13932753142699275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57-4E10-BF86-20193BF2BC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Aux_Controle!$H$6:$H$8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Aux_Controle!$I$6:$I$8</c:f>
              <c:numCache>
                <c:formatCode>General</c:formatCode>
                <c:ptCount val="2"/>
                <c:pt idx="0">
                  <c:v>9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57-4E10-BF86-20193BF2BCC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[VBA.xlsm]Aux_Controle!Tab_Din_Resumo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Resumo das Últimas 15 Simulações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Aux_Controle!$L$5:$L$6</c:f>
              <c:strCache>
                <c:ptCount val="1"/>
                <c:pt idx="0">
                  <c:v>Sem desconto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Aux_Controle!$K$7:$K$13</c:f>
              <c:multiLvlStrCache>
                <c:ptCount val="4"/>
                <c:lvl>
                  <c:pt idx="0">
                    <c:v>Bitcoin</c:v>
                  </c:pt>
                  <c:pt idx="1">
                    <c:v>Dólar</c:v>
                  </c:pt>
                  <c:pt idx="2">
                    <c:v>Bitcoin</c:v>
                  </c:pt>
                  <c:pt idx="3">
                    <c:v>Dólar</c:v>
                  </c:pt>
                </c:lvl>
                <c:lvl>
                  <c:pt idx="0">
                    <c:v>Compra</c:v>
                  </c:pt>
                  <c:pt idx="2">
                    <c:v>Venda</c:v>
                  </c:pt>
                </c:lvl>
              </c:multiLvlStrCache>
            </c:multiLvlStrRef>
          </c:cat>
          <c:val>
            <c:numRef>
              <c:f>Aux_Controle!$L$7:$L$13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0-4719-8054-4D04D0EDA056}"/>
            </c:ext>
          </c:extLst>
        </c:ser>
        <c:ser>
          <c:idx val="1"/>
          <c:order val="1"/>
          <c:tx>
            <c:strRef>
              <c:f>Aux_Controle!$M$5:$M$6</c:f>
              <c:strCache>
                <c:ptCount val="1"/>
                <c:pt idx="0">
                  <c:v>Com desconto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Aux_Controle!$K$7:$K$13</c:f>
              <c:multiLvlStrCache>
                <c:ptCount val="4"/>
                <c:lvl>
                  <c:pt idx="0">
                    <c:v>Bitcoin</c:v>
                  </c:pt>
                  <c:pt idx="1">
                    <c:v>Dólar</c:v>
                  </c:pt>
                  <c:pt idx="2">
                    <c:v>Bitcoin</c:v>
                  </c:pt>
                  <c:pt idx="3">
                    <c:v>Dólar</c:v>
                  </c:pt>
                </c:lvl>
                <c:lvl>
                  <c:pt idx="0">
                    <c:v>Compra</c:v>
                  </c:pt>
                  <c:pt idx="2">
                    <c:v>Venda</c:v>
                  </c:pt>
                </c:lvl>
              </c:multiLvlStrCache>
            </c:multiLvlStrRef>
          </c:cat>
          <c:val>
            <c:numRef>
              <c:f>Aux_Controle!$M$7:$M$13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80-4719-8054-4D04D0EDA0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50"/>
        <c:overlap val="100"/>
        <c:axId val="1850126320"/>
        <c:axId val="1850121040"/>
      </c:barChart>
      <c:catAx>
        <c:axId val="185012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0121040"/>
        <c:crosses val="autoZero"/>
        <c:auto val="1"/>
        <c:lblAlgn val="ctr"/>
        <c:lblOffset val="100"/>
        <c:noMultiLvlLbl val="0"/>
      </c:catAx>
      <c:valAx>
        <c:axId val="1850121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5012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Variação Percentual BTC x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 cmpd="sng">
            <a:solidFill>
              <a:schemeClr val="accent1"/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Variação % BTC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10"/>
              <c:pt idx="0">
                <c:v>1:43:08 PM
3/3/2025</c:v>
              </c:pt>
              <c:pt idx="1">
                <c:v>2:45:32 PM
3/4/2025</c:v>
              </c:pt>
              <c:pt idx="2">
                <c:v>8:55:46 AM
3/5/2025</c:v>
              </c:pt>
              <c:pt idx="3">
                <c:v>4:48:42 PM
3/5/2025</c:v>
              </c:pt>
              <c:pt idx="4">
                <c:v>5:34:11 PM
3/5/2025</c:v>
              </c:pt>
              <c:pt idx="5">
                <c:v>7:11:47 PM
3/5/2025</c:v>
              </c:pt>
              <c:pt idx="6">
                <c:v>11:44:44 AM
3/6/2025</c:v>
              </c:pt>
              <c:pt idx="7">
                <c:v>12:06:35 PM
3/6/2025</c:v>
              </c:pt>
              <c:pt idx="8">
                <c:v>12:41:33 PM
3/6/2025</c:v>
              </c:pt>
              <c:pt idx="9">
                <c:v>4:44:43 PM
3/6/2025</c:v>
              </c:pt>
            </c:strLit>
          </c:cat>
          <c:val>
            <c:numLit>
              <c:formatCode>0.00</c:formatCode>
              <c:ptCount val="10"/>
              <c:pt idx="0">
                <c:v>-0.65513345311081883</c:v>
              </c:pt>
              <c:pt idx="1">
                <c:v>-1.9518861645222456</c:v>
              </c:pt>
              <c:pt idx="2">
                <c:v>0.40712400453331915</c:v>
              </c:pt>
              <c:pt idx="3">
                <c:v>-2.0764168363240376</c:v>
              </c:pt>
              <c:pt idx="4">
                <c:v>0.49317198551041369</c:v>
              </c:pt>
              <c:pt idx="5">
                <c:v>-0.27539832682525967</c:v>
              </c:pt>
              <c:pt idx="6">
                <c:v>-0.86668725153421589</c:v>
              </c:pt>
              <c:pt idx="7">
                <c:v>1.227396342923442</c:v>
              </c:pt>
              <c:pt idx="8">
                <c:v>1.0223194883017881</c:v>
              </c:pt>
              <c:pt idx="9">
                <c:v>-2.741999961927243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CA6-469F-8FC8-423E7017519A}"/>
            </c:ext>
          </c:extLst>
        </c:ser>
        <c:ser>
          <c:idx val="1"/>
          <c:order val="1"/>
          <c:tx>
            <c:v>Variação % USD</c:v>
          </c:tx>
          <c:spPr>
            <a:ln w="28575" cap="rnd" cmpd="sng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10"/>
              <c:pt idx="0">
                <c:v>1:43:08 PM
3/3/2025</c:v>
              </c:pt>
              <c:pt idx="1">
                <c:v>2:45:32 PM
3/4/2025</c:v>
              </c:pt>
              <c:pt idx="2">
                <c:v>8:55:46 AM
3/5/2025</c:v>
              </c:pt>
              <c:pt idx="3">
                <c:v>4:48:42 PM
3/5/2025</c:v>
              </c:pt>
              <c:pt idx="4">
                <c:v>5:34:11 PM
3/5/2025</c:v>
              </c:pt>
              <c:pt idx="5">
                <c:v>7:11:47 PM
3/5/2025</c:v>
              </c:pt>
              <c:pt idx="6">
                <c:v>11:44:44 AM
3/6/2025</c:v>
              </c:pt>
              <c:pt idx="7">
                <c:v>12:06:35 PM
3/6/2025</c:v>
              </c:pt>
              <c:pt idx="8">
                <c:v>12:41:33 PM
3/6/2025</c:v>
              </c:pt>
              <c:pt idx="9">
                <c:v>4:44:43 PM
3/6/2025</c:v>
              </c:pt>
            </c:strLit>
          </c:cat>
          <c:val>
            <c:numLit>
              <c:formatCode>0.00</c:formatCode>
              <c:ptCount val="10"/>
              <c:pt idx="0">
                <c:v>0.33670033670032951</c:v>
              </c:pt>
              <c:pt idx="1">
                <c:v>3.3557046979865799</c:v>
              </c:pt>
              <c:pt idx="2">
                <c:v>-4.5454545454545494</c:v>
              </c:pt>
              <c:pt idx="3">
                <c:v>-2.0408163265306141</c:v>
              </c:pt>
              <c:pt idx="4">
                <c:v>0.17361111111110741</c:v>
              </c:pt>
              <c:pt idx="5">
                <c:v>-0.34662045060657842</c:v>
              </c:pt>
              <c:pt idx="6">
                <c:v>-0.17391304347825717</c:v>
              </c:pt>
              <c:pt idx="7">
                <c:v>0.17421602787456072</c:v>
              </c:pt>
              <c:pt idx="8">
                <c:v>-0.17391304347825717</c:v>
              </c:pt>
              <c:pt idx="9">
                <c:v>0.5226480836236822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CA6-469F-8FC8-423E70175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6607232"/>
        <c:axId val="2046610112"/>
      </c:lineChart>
      <c:catAx>
        <c:axId val="2046607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661011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046610112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6607232"/>
        <c:crosses val="autoZero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[VBA.xlsm]PivotChartTable4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371475</xdr:colOff>
      <xdr:row>3</xdr:row>
      <xdr:rowOff>0</xdr:rowOff>
    </xdr:from>
    <xdr:to>
      <xdr:col>15</xdr:col>
      <xdr:colOff>38100</xdr:colOff>
      <xdr:row>5</xdr:row>
      <xdr:rowOff>76200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EF6F87D-73E1-692D-6F1E-969751369DAF}"/>
            </a:ext>
          </a:extLst>
        </xdr:cNvPr>
        <xdr:cNvGrpSpPr/>
      </xdr:nvGrpSpPr>
      <xdr:grpSpPr>
        <a:xfrm>
          <a:off x="514350" y="571500"/>
          <a:ext cx="11353800" cy="457200"/>
          <a:chOff x="638175" y="409575"/>
          <a:chExt cx="113538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300-000002040000}"/>
                  </a:ext>
                </a:extLst>
              </xdr:cNvPr>
              <xdr:cNvSpPr/>
            </xdr:nvSpPr>
            <xdr:spPr bwMode="auto">
              <a:xfrm>
                <a:off x="638175" y="409575"/>
                <a:ext cx="13716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Simular Transação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300-000004040000}"/>
                  </a:ext>
                </a:extLst>
              </xdr:cNvPr>
              <xdr:cNvSpPr/>
            </xdr:nvSpPr>
            <xdr:spPr bwMode="auto">
              <a:xfrm>
                <a:off x="2193925" y="409575"/>
                <a:ext cx="13716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Atualizar Cotações</a:t>
                </a:r>
              </a:p>
            </xdr:txBody>
          </xdr:sp>
        </mc:Choice>
        <mc:Fallback/>
      </mc:AlternateContent>
      <xdr:sp macro="" textlink="Aux_Cotações!G2">
        <xdr:nvSpPr>
          <xdr:cNvPr id="2" name="CaixaDeTexto 1">
            <a:extLst>
              <a:ext uri="{FF2B5EF4-FFF2-40B4-BE49-F238E27FC236}">
                <a16:creationId xmlns:a16="http://schemas.microsoft.com/office/drawing/2014/main" id="{62C5571C-8D25-AF86-C33A-0D6850200154}"/>
              </a:ext>
            </a:extLst>
          </xdr:cNvPr>
          <xdr:cNvSpPr txBox="1"/>
        </xdr:nvSpPr>
        <xdr:spPr>
          <a:xfrm>
            <a:off x="3749675" y="466725"/>
            <a:ext cx="4029075" cy="342900"/>
          </a:xfrm>
          <a:prstGeom prst="rect">
            <a:avLst/>
          </a:prstGeom>
          <a:noFill/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FE22575-BCEC-43A5-AFE2-00707700EEC4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BITCOIN : R$ 510,906.00 🔽</a:t>
            </a:fld>
            <a:endParaRPr lang="en-US" sz="1100"/>
          </a:p>
        </xdr:txBody>
      </xdr:sp>
      <xdr:sp macro="" textlink="Aux_Cotações!G3">
        <xdr:nvSpPr>
          <xdr:cNvPr id="3" name="CaixaDeTexto 2">
            <a:extLst>
              <a:ext uri="{FF2B5EF4-FFF2-40B4-BE49-F238E27FC236}">
                <a16:creationId xmlns:a16="http://schemas.microsoft.com/office/drawing/2014/main" id="{5F42031D-E8B7-466A-B467-297823FF8B63}"/>
              </a:ext>
            </a:extLst>
          </xdr:cNvPr>
          <xdr:cNvSpPr txBox="1"/>
        </xdr:nvSpPr>
        <xdr:spPr>
          <a:xfrm>
            <a:off x="7962900" y="466725"/>
            <a:ext cx="4029075" cy="342900"/>
          </a:xfrm>
          <a:prstGeom prst="rect">
            <a:avLst/>
          </a:prstGeom>
          <a:noFill/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4C7A009-5C1A-4186-BBD5-CED014208CFF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ctr"/>
              <a:t>USD : R$ 5.77 🔼</a:t>
            </a:fld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0</xdr:row>
      <xdr:rowOff>19050</xdr:rowOff>
    </xdr:from>
    <xdr:to>
      <xdr:col>5</xdr:col>
      <xdr:colOff>38099</xdr:colOff>
      <xdr:row>1</xdr:row>
      <xdr:rowOff>57150</xdr:rowOff>
    </xdr:to>
    <xdr:sp macro="" textlink="Aux_Cotações!G5">
      <xdr:nvSpPr>
        <xdr:cNvPr id="4" name="CaixaDeTexto 3">
          <a:extLst>
            <a:ext uri="{FF2B5EF4-FFF2-40B4-BE49-F238E27FC236}">
              <a16:creationId xmlns:a16="http://schemas.microsoft.com/office/drawing/2014/main" id="{1882A9E4-F74A-4BBF-A9D1-24994AC2C12B}"/>
            </a:ext>
          </a:extLst>
        </xdr:cNvPr>
        <xdr:cNvSpPr txBox="1"/>
      </xdr:nvSpPr>
      <xdr:spPr>
        <a:xfrm>
          <a:off x="0" y="19050"/>
          <a:ext cx="337184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FFD091A-1C52-4C34-83A7-005FAF8BB2BA}" type="TxLink">
            <a:rPr lang="en-US" sz="1000" b="0" i="1" u="none" strike="noStrike">
              <a:solidFill>
                <a:srgbClr val="000000"/>
              </a:solidFill>
              <a:latin typeface="Aptos Narrow"/>
            </a:rPr>
            <a:pPr algn="l"/>
            <a:t>Última atualização: 06/03 16:44</a:t>
          </a:fld>
          <a:endParaRPr lang="en-US" sz="1100"/>
        </a:p>
      </xdr:txBody>
    </xdr:sp>
    <xdr:clientData/>
  </xdr:twoCellAnchor>
  <xdr:twoCellAnchor editAs="absolute">
    <xdr:from>
      <xdr:col>9</xdr:col>
      <xdr:colOff>133348</xdr:colOff>
      <xdr:row>6</xdr:row>
      <xdr:rowOff>171450</xdr:rowOff>
    </xdr:from>
    <xdr:to>
      <xdr:col>17</xdr:col>
      <xdr:colOff>285748</xdr:colOff>
      <xdr:row>18</xdr:row>
      <xdr:rowOff>171450</xdr:rowOff>
    </xdr:to>
    <xdr:graphicFrame macro="">
      <xdr:nvGraphicFramePr>
        <xdr:cNvPr id="8" name="Gráf_USD_BRL">
          <a:extLst>
            <a:ext uri="{FF2B5EF4-FFF2-40B4-BE49-F238E27FC236}">
              <a16:creationId xmlns:a16="http://schemas.microsoft.com/office/drawing/2014/main" id="{DB8A7286-7742-2029-0255-39610312E8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133348</xdr:colOff>
      <xdr:row>20</xdr:row>
      <xdr:rowOff>21430</xdr:rowOff>
    </xdr:from>
    <xdr:to>
      <xdr:col>17</xdr:col>
      <xdr:colOff>285748</xdr:colOff>
      <xdr:row>32</xdr:row>
      <xdr:rowOff>21430</xdr:rowOff>
    </xdr:to>
    <xdr:graphicFrame macro="">
      <xdr:nvGraphicFramePr>
        <xdr:cNvPr id="7" name="Gráf_BTC_BRL">
          <a:extLst>
            <a:ext uri="{FF2B5EF4-FFF2-40B4-BE49-F238E27FC236}">
              <a16:creationId xmlns:a16="http://schemas.microsoft.com/office/drawing/2014/main" id="{6F7EA93E-FFBB-697B-394D-7804C6D54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19050</xdr:colOff>
      <xdr:row>23</xdr:row>
      <xdr:rowOff>142875</xdr:rowOff>
    </xdr:from>
    <xdr:to>
      <xdr:col>7</xdr:col>
      <xdr:colOff>809625</xdr:colOff>
      <xdr:row>33</xdr:row>
      <xdr:rowOff>161925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C12BF9F2-2B01-78EB-252B-49887D28903E}"/>
            </a:ext>
          </a:extLst>
        </xdr:cNvPr>
        <xdr:cNvGrpSpPr/>
      </xdr:nvGrpSpPr>
      <xdr:grpSpPr>
        <a:xfrm>
          <a:off x="19050" y="4524375"/>
          <a:ext cx="7010400" cy="1924050"/>
          <a:chOff x="790575" y="4591050"/>
          <a:chExt cx="7010400" cy="1924050"/>
        </a:xfrm>
      </xdr:grpSpPr>
      <xdr:graphicFrame macro="">
        <xdr:nvGraphicFramePr>
          <xdr:cNvPr id="9" name="Gráf_Tipo">
            <a:extLst>
              <a:ext uri="{FF2B5EF4-FFF2-40B4-BE49-F238E27FC236}">
                <a16:creationId xmlns:a16="http://schemas.microsoft.com/office/drawing/2014/main" id="{FB1EEEA6-BD94-4BE4-95A5-F7791A769DB9}"/>
              </a:ext>
            </a:extLst>
          </xdr:cNvPr>
          <xdr:cNvGraphicFramePr>
            <a:graphicFrameLocks/>
          </xdr:cNvGraphicFramePr>
        </xdr:nvGraphicFramePr>
        <xdr:xfrm>
          <a:off x="790575" y="4591050"/>
          <a:ext cx="2238375" cy="1924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0" name="Gráf_Moeda">
            <a:extLst>
              <a:ext uri="{FF2B5EF4-FFF2-40B4-BE49-F238E27FC236}">
                <a16:creationId xmlns:a16="http://schemas.microsoft.com/office/drawing/2014/main" id="{89192BE0-D948-4F52-946E-1F4E406F35DD}"/>
              </a:ext>
            </a:extLst>
          </xdr:cNvPr>
          <xdr:cNvGraphicFramePr>
            <a:graphicFrameLocks/>
          </xdr:cNvGraphicFramePr>
        </xdr:nvGraphicFramePr>
        <xdr:xfrm>
          <a:off x="3176588" y="4591050"/>
          <a:ext cx="2238375" cy="1924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2" name="Gráf_Desco">
            <a:extLst>
              <a:ext uri="{FF2B5EF4-FFF2-40B4-BE49-F238E27FC236}">
                <a16:creationId xmlns:a16="http://schemas.microsoft.com/office/drawing/2014/main" id="{766B909A-D3CB-40BC-921A-CFCD1AB4F508}"/>
              </a:ext>
            </a:extLst>
          </xdr:cNvPr>
          <xdr:cNvGraphicFramePr>
            <a:graphicFrameLocks/>
          </xdr:cNvGraphicFramePr>
        </xdr:nvGraphicFramePr>
        <xdr:xfrm>
          <a:off x="5562600" y="4591050"/>
          <a:ext cx="2238375" cy="1924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absolute">
    <xdr:from>
      <xdr:col>0</xdr:col>
      <xdr:colOff>17526</xdr:colOff>
      <xdr:row>34</xdr:row>
      <xdr:rowOff>85725</xdr:rowOff>
    </xdr:from>
    <xdr:to>
      <xdr:col>7</xdr:col>
      <xdr:colOff>811149</xdr:colOff>
      <xdr:row>47</xdr:row>
      <xdr:rowOff>78105</xdr:rowOff>
    </xdr:to>
    <xdr:graphicFrame macro="">
      <xdr:nvGraphicFramePr>
        <xdr:cNvPr id="14" name="Gráf_Resumo">
          <a:extLst>
            <a:ext uri="{FF2B5EF4-FFF2-40B4-BE49-F238E27FC236}">
              <a16:creationId xmlns:a16="http://schemas.microsoft.com/office/drawing/2014/main" id="{30B9CC2A-79F3-4D73-91A2-4C6B8776A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</xdr:col>
      <xdr:colOff>897696</xdr:colOff>
      <xdr:row>0</xdr:row>
      <xdr:rowOff>0</xdr:rowOff>
    </xdr:from>
    <xdr:to>
      <xdr:col>7</xdr:col>
      <xdr:colOff>188155</xdr:colOff>
      <xdr:row>2</xdr:row>
      <xdr:rowOff>142911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C874B5EC-561C-324F-6AF9-3315EB35B2B5}"/>
            </a:ext>
          </a:extLst>
        </xdr:cNvPr>
        <xdr:cNvGrpSpPr/>
      </xdr:nvGrpSpPr>
      <xdr:grpSpPr>
        <a:xfrm>
          <a:off x="1974021" y="0"/>
          <a:ext cx="4433959" cy="523911"/>
          <a:chOff x="2005013" y="47625"/>
          <a:chExt cx="4272034" cy="523911"/>
        </a:xfrm>
      </xdr:grpSpPr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1DC17FE4-72EE-74BB-DE77-FB18F5E9E86E}"/>
              </a:ext>
            </a:extLst>
          </xdr:cNvPr>
          <xdr:cNvSpPr txBox="1"/>
        </xdr:nvSpPr>
        <xdr:spPr>
          <a:xfrm>
            <a:off x="2005013" y="152436"/>
            <a:ext cx="378618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/>
              <a:t>Simulador de Transações Financeiras</a:t>
            </a:r>
          </a:p>
        </xdr:txBody>
      </xdr:sp>
      <xdr:pic>
        <xdr:nvPicPr>
          <xdr:cNvPr id="15" name="Imagem 14" descr="Dinheiro com preenchimento sólido">
            <a:extLst>
              <a:ext uri="{FF2B5EF4-FFF2-40B4-BE49-F238E27FC236}">
                <a16:creationId xmlns:a16="http://schemas.microsoft.com/office/drawing/2014/main" id="{C5B77333-894B-F445-D76A-CF3DAC54B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62625" y="47625"/>
            <a:ext cx="514422" cy="514422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876298</xdr:colOff>
      <xdr:row>33</xdr:row>
      <xdr:rowOff>61910</xdr:rowOff>
    </xdr:from>
    <xdr:to>
      <xdr:col>17</xdr:col>
      <xdr:colOff>447673</xdr:colOff>
      <xdr:row>47</xdr:row>
      <xdr:rowOff>138110</xdr:rowOff>
    </xdr:to>
    <xdr:graphicFrame macro="">
      <xdr:nvGraphicFramePr>
        <xdr:cNvPr id="17" name="Gráf_Var_Perc">
          <a:extLst>
            <a:ext uri="{FF2B5EF4-FFF2-40B4-BE49-F238E27FC236}">
              <a16:creationId xmlns:a16="http://schemas.microsoft.com/office/drawing/2014/main" id="{07F72E87-45DA-1748-5A6E-BE8D850265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8382175928" backgroundQuery="1" createdVersion="8" refreshedVersion="8" minRefreshableVersion="3" recordCount="0" supportSubquery="1" supportAdvancedDrill="1" xr:uid="{CEB9228D-7D05-44D7-84F3-A7989B4D431D}">
  <cacheSource type="external" connectionId="6"/>
  <cacheFields count="2">
    <cacheField name="[t_Hist_Simul_Tran].[Tipo].[Tipo]" caption="Tipo" numFmtId="0" hierarchy="29" level="1">
      <sharedItems count="2">
        <s v="Compra"/>
        <s v="Venda"/>
      </sharedItems>
    </cacheField>
    <cacheField name="[Measures].[Contagem de Data]" caption="Contagem de Data" numFmtId="0" hierarchy="47" level="32767"/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2" memberValueDatatype="130" unbalanced="0">
      <fieldsUsage count="2">
        <fieldUsage x="-1"/>
        <fieldUsage x="0"/>
      </fieldsUsage>
    </cacheHierarchy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8383333336" backgroundQuery="1" createdVersion="8" refreshedVersion="8" minRefreshableVersion="3" recordCount="0" supportSubquery="1" supportAdvancedDrill="1" xr:uid="{744A453B-B310-4362-A79F-801A5A6DB0A3}">
  <cacheSource type="external" connectionId="6"/>
  <cacheFields count="2">
    <cacheField name="[Measures].[Contagem de Data]" caption="Contagem de Data" numFmtId="0" hierarchy="47" level="32767"/>
    <cacheField name="[t_Hist_Simul_Tran].[Moeda].[Moeda]" caption="Moeda" numFmtId="0" hierarchy="30" level="1">
      <sharedItems count="2">
        <s v="Bitcoin"/>
        <s v="Dólar"/>
      </sharedItems>
    </cacheField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2" memberValueDatatype="130" unbalanced="0">
      <fieldsUsage count="2">
        <fieldUsage x="-1"/>
        <fieldUsage x="1"/>
      </fieldsUsage>
    </cacheHierarchy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8384490737" backgroundQuery="1" createdVersion="8" refreshedVersion="8" minRefreshableVersion="3" recordCount="0" supportSubquery="1" supportAdvancedDrill="1" xr:uid="{41DF7C1B-6A45-4A71-A051-22E2E98EE599}">
  <cacheSource type="external" connectionId="6"/>
  <cacheFields count="2">
    <cacheField name="[Measures].[Contagem de Data]" caption="Contagem de Data" numFmtId="0" hierarchy="47" level="32767"/>
    <cacheField name="[t_Hist_Simul_Tran].[Desconto].[Desconto]" caption="Desconto" numFmtId="0" hierarchy="34" level="1">
      <sharedItems count="2">
        <s v="Não"/>
        <s v="Sim"/>
      </sharedItems>
    </cacheField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2" memberValueDatatype="130" unbalanced="0">
      <fieldsUsage count="2">
        <fieldUsage x="-1"/>
        <fieldUsage x="1"/>
      </fieldsUsage>
    </cacheHierarchy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8385648146" backgroundQuery="1" createdVersion="8" refreshedVersion="8" minRefreshableVersion="3" recordCount="0" supportSubquery="1" supportAdvancedDrill="1" xr:uid="{0F018775-AB77-40A0-8F0F-FC5A5E02B2BB}">
  <cacheSource type="external" connectionId="6"/>
  <cacheFields count="4">
    <cacheField name="[Measures].[Contagem de Data]" caption="Contagem de Data" numFmtId="0" hierarchy="47" level="32767"/>
    <cacheField name="[t_Hist_Simul_Tran].[Tipo].[Tipo]" caption="Tipo" numFmtId="0" hierarchy="29" level="1">
      <sharedItems count="2">
        <s v="Compra"/>
        <s v="Venda"/>
      </sharedItems>
    </cacheField>
    <cacheField name="[t_Hist_Simul_Tran].[Moeda].[Moeda]" caption="Moeda" numFmtId="0" hierarchy="30" level="1">
      <sharedItems count="2">
        <s v="Bitcoin"/>
        <s v="Dólar"/>
      </sharedItems>
    </cacheField>
    <cacheField name="[t_Hist_Simul_Tran].[Desconto].[Desconto]" caption="Desconto" numFmtId="0" hierarchy="34" level="1">
      <sharedItems count="2">
        <s v="Não"/>
        <s v="Sim"/>
      </sharedItems>
    </cacheField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2" memberValueDatatype="130" unbalanced="0">
      <fieldsUsage count="2">
        <fieldUsage x="-1"/>
        <fieldUsage x="1"/>
      </fieldsUsage>
    </cacheHierarchy>
    <cacheHierarchy uniqueName="[t_Hist_Simul_Tran].[Moeda]" caption="Moeda" attribute="1" defaultMemberUniqueName="[t_Hist_Simul_Tran].[Moeda].[All]" allUniqueName="[t_Hist_Simul_Tran].[Moeda].[All]" dimensionUniqueName="[t_Hist_Simul_Tran]" displayFolder="" count="2" memberValueDatatype="130" unbalanced="0">
      <fieldsUsage count="2">
        <fieldUsage x="-1"/>
        <fieldUsage x="2"/>
      </fieldsUsage>
    </cacheHierarchy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2" memberValueDatatype="130" unbalanced="0">
      <fieldsUsage count="2">
        <fieldUsage x="-1"/>
        <fieldUsage x="3"/>
      </fieldsUsage>
    </cacheHierarchy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7805324075" backgroundQuery="1" createdVersion="8" refreshedVersion="8" minRefreshableVersion="3" recordCount="0" supportSubquery="1" supportAdvancedDrill="1" xr:uid="{4F54AC1F-D8B6-41F5-87C5-09E31F5FA820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Gráf_Var_Perc].[Data].[Data]" caption="Data" numFmtId="0" hierarchy="11" level="1">
      <sharedItems containsSemiMixedTypes="0" containsNonDate="0" containsDate="1" containsString="0" minDate="2025-03-03T00:00:00" maxDate="2025-03-07T00:00:00" count="4">
        <d v="2025-03-03T00:00:00"/>
        <d v="2025-03-04T00:00:00"/>
        <d v="2025-03-05T00:00:00"/>
        <d v="2025-03-06T00:00:00"/>
      </sharedItems>
    </cacheField>
    <cacheField name="[Gráf_Var_Perc].[Hora].[Hora]" caption="Hora" numFmtId="0" hierarchy="12" level="1">
      <sharedItems containsSemiMixedTypes="0" containsNonDate="0" containsDate="1" containsString="0" minDate="1899-12-30T08:55:46" maxDate="1899-12-30T19:11:47" count="10">
        <d v="1899-12-30T13:43:08"/>
        <d v="1899-12-30T14:45:32"/>
        <d v="1899-12-30T08:55:46"/>
        <d v="1899-12-30T16:48:42"/>
        <d v="1899-12-30T17:34:11"/>
        <d v="1899-12-30T19:11:47"/>
        <d v="1899-12-30T11:44:44"/>
        <d v="1899-12-30T12:06:35"/>
        <d v="1899-12-30T12:41:33"/>
        <d v="1899-12-30T16:44:43"/>
      </sharedItems>
      <extLst>
        <ext xmlns:x15="http://schemas.microsoft.com/office/spreadsheetml/2010/11/main" uri="{4F2E5C28-24EA-4eb8-9CBF-B6C8F9C3D259}">
          <x15:cachedUniqueNames>
            <x15:cachedUniqueName index="0" name="[Gráf_Var_Perc].[Hora].&amp;[1899-12-30T13:43:08]"/>
            <x15:cachedUniqueName index="1" name="[Gráf_Var_Perc].[Hora].&amp;[1899-12-30T14:45:32]"/>
            <x15:cachedUniqueName index="2" name="[Gráf_Var_Perc].[Hora].&amp;[1899-12-30T08:55:46]"/>
            <x15:cachedUniqueName index="3" name="[Gráf_Var_Perc].[Hora].&amp;[1899-12-30T16:48:42]"/>
            <x15:cachedUniqueName index="4" name="[Gráf_Var_Perc].[Hora].&amp;[1899-12-30T17:34:11]"/>
            <x15:cachedUniqueName index="5" name="[Gráf_Var_Perc].[Hora].&amp;[1899-12-30T19:11:47]"/>
            <x15:cachedUniqueName index="6" name="[Gráf_Var_Perc].[Hora].&amp;[1899-12-30T11:44:44]"/>
            <x15:cachedUniqueName index="7" name="[Gráf_Var_Perc].[Hora].&amp;[1899-12-30T12:06:35]"/>
            <x15:cachedUniqueName index="8" name="[Gráf_Var_Perc].[Hora].&amp;[1899-12-30T12:41:33]"/>
            <x15:cachedUniqueName index="9" name="[Gráf_Var_Perc].[Hora].&amp;[1899-12-30T16:44:43]"/>
          </x15:cachedUniqueNames>
        </ext>
      </extLst>
    </cacheField>
    <cacheField name="[Measures].[Média de Var_BTC]" caption="Média de Var_BTC" numFmtId="0" hierarchy="58" level="32767"/>
    <cacheField name="[Measures].[Média de Var_USD]" caption="Média de Var_USD" numFmtId="0" hierarchy="59" level="32767"/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2" memberValueDatatype="7" unbalanced="0">
      <fieldsUsage count="2">
        <fieldUsage x="-1"/>
        <fieldUsage x="0"/>
      </fieldsUsage>
    </cacheHierarchy>
    <cacheHierarchy uniqueName="[Gráf_Var_Perc].[Hora]" caption="Hora" attribute="1" time="1" defaultMemberUniqueName="[Gráf_Var_Perc].[Hora].[All]" allUniqueName="[Gráf_Var_Perc].[Hora].[All]" dimensionUniqueName="[Gráf_Var_Perc]" displayFolder="" count="2" memberValueDatatype="7" unbalanced="0">
      <fieldsUsage count="2">
        <fieldUsage x="-1"/>
        <fieldUsage x="1"/>
      </fieldsUsage>
    </cacheHierarchy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pivotCacheId="163890694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7806249998" backgroundQuery="1" createdVersion="8" refreshedVersion="8" minRefreshableVersion="3" recordCount="0" supportSubquery="1" supportAdvancedDrill="1" xr:uid="{FE7FDE64-4B34-438F-900B-8D3627DFD30F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Gráf_USD_Hist_Cotações].[Data].[Data]" caption="Data" numFmtId="0" hierarchy="7" level="1">
      <sharedItems containsSemiMixedTypes="0" containsNonDate="0" containsDate="1" containsString="0" minDate="2025-03-03T00:00:00" maxDate="2025-03-07T00:00:00" count="4">
        <d v="2025-03-03T00:00:00"/>
        <d v="2025-03-04T00:00:00"/>
        <d v="2025-03-05T00:00:00"/>
        <d v="2025-03-06T00:00:00"/>
      </sharedItems>
    </cacheField>
    <cacheField name="[Gráf_USD_Hist_Cotações].[Hora].[Hora]" caption="Hora" numFmtId="0" hierarchy="8" level="1">
      <sharedItems containsSemiMixedTypes="0" containsNonDate="0" containsDate="1" containsString="0" minDate="1899-12-30T08:55:46" maxDate="1899-12-30T19:11:47" count="10">
        <d v="1899-12-30T13:43:08"/>
        <d v="1899-12-30T14:45:32"/>
        <d v="1899-12-30T08:55:46"/>
        <d v="1899-12-30T16:48:42"/>
        <d v="1899-12-30T17:34:11"/>
        <d v="1899-12-30T19:11:47"/>
        <d v="1899-12-30T11:44:44"/>
        <d v="1899-12-30T12:06:35"/>
        <d v="1899-12-30T12:41:33"/>
        <d v="1899-12-30T16:44:43"/>
      </sharedItems>
      <extLst>
        <ext xmlns:x15="http://schemas.microsoft.com/office/spreadsheetml/2010/11/main" uri="{4F2E5C28-24EA-4eb8-9CBF-B6C8F9C3D259}">
          <x15:cachedUniqueNames>
            <x15:cachedUniqueName index="0" name="[Gráf_USD_Hist_Cotações].[Hora].&amp;[1899-12-30T13:43:08]"/>
            <x15:cachedUniqueName index="1" name="[Gráf_USD_Hist_Cotações].[Hora].&amp;[1899-12-30T14:45:32]"/>
            <x15:cachedUniqueName index="2" name="[Gráf_USD_Hist_Cotações].[Hora].&amp;[1899-12-30T08:55:46]"/>
            <x15:cachedUniqueName index="3" name="[Gráf_USD_Hist_Cotações].[Hora].&amp;[1899-12-30T16:48:42]"/>
            <x15:cachedUniqueName index="4" name="[Gráf_USD_Hist_Cotações].[Hora].&amp;[1899-12-30T17:34:11]"/>
            <x15:cachedUniqueName index="5" name="[Gráf_USD_Hist_Cotações].[Hora].&amp;[1899-12-30T19:11:47]"/>
            <x15:cachedUniqueName index="6" name="[Gráf_USD_Hist_Cotações].[Hora].&amp;[1899-12-30T11:44:44]"/>
            <x15:cachedUniqueName index="7" name="[Gráf_USD_Hist_Cotações].[Hora].&amp;[1899-12-30T12:06:35]"/>
            <x15:cachedUniqueName index="8" name="[Gráf_USD_Hist_Cotações].[Hora].&amp;[1899-12-30T12:41:33]"/>
            <x15:cachedUniqueName index="9" name="[Gráf_USD_Hist_Cotações].[Hora].&amp;[1899-12-30T16:44:43]"/>
          </x15:cachedUniqueNames>
        </ext>
      </extLst>
    </cacheField>
    <cacheField name="[Measures].[Média de Cotação]" caption="Média de Cotação" numFmtId="0" hierarchy="44" level="32767"/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0" memberValueDatatype="7" unbalanced="0"/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0" memberValueDatatype="7" unbalanced="0"/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2" memberValueDatatype="7" unbalanced="0">
      <fieldsUsage count="2">
        <fieldUsage x="-1"/>
        <fieldUsage x="0"/>
      </fieldsUsage>
    </cacheHierarchy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2" memberValueDatatype="7" unbalanced="0">
      <fieldsUsage count="2">
        <fieldUsage x="-1"/>
        <fieldUsage x="1"/>
      </fieldsUsage>
    </cacheHierarchy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pivotCacheId="209223703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nane Junior" refreshedDate="45722.697807175929" backgroundQuery="1" createdVersion="8" refreshedVersion="8" minRefreshableVersion="3" recordCount="0" supportSubquery="1" supportAdvancedDrill="1" xr:uid="{A8661FBA-0420-465B-A253-7503F40E8CFF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Gráf_BTC_Hist_Cotações].[Data].[Data]" caption="Data" numFmtId="0" level="1">
      <sharedItems containsSemiMixedTypes="0" containsNonDate="0" containsDate="1" containsString="0" minDate="2025-03-03T00:00:00" maxDate="2025-03-07T00:00:00" count="4">
        <d v="2025-03-03T00:00:00"/>
        <d v="2025-03-04T00:00:00"/>
        <d v="2025-03-05T00:00:00"/>
        <d v="2025-03-06T00:00:00"/>
      </sharedItems>
    </cacheField>
    <cacheField name="[Gráf_BTC_Hist_Cotações].[Hora].[Hora]" caption="Hora" numFmtId="0" hierarchy="1" level="1">
      <sharedItems containsSemiMixedTypes="0" containsNonDate="0" containsDate="1" containsString="0" minDate="1899-12-30T08:55:46" maxDate="1899-12-30T19:11:47" count="10">
        <d v="1899-12-30T13:43:08"/>
        <d v="1899-12-30T14:45:32"/>
        <d v="1899-12-30T08:55:46"/>
        <d v="1899-12-30T16:48:42"/>
        <d v="1899-12-30T17:34:11"/>
        <d v="1899-12-30T19:11:47"/>
        <d v="1899-12-30T11:44:44"/>
        <d v="1899-12-30T12:06:35"/>
        <d v="1899-12-30T12:41:33"/>
        <d v="1899-12-30T16:44:43"/>
      </sharedItems>
      <extLst>
        <ext xmlns:x15="http://schemas.microsoft.com/office/spreadsheetml/2010/11/main" uri="{4F2E5C28-24EA-4eb8-9CBF-B6C8F9C3D259}">
          <x15:cachedUniqueNames>
            <x15:cachedUniqueName index="0" name="[Gráf_BTC_Hist_Cotações].[Hora].&amp;[1899-12-30T13:43:08]"/>
            <x15:cachedUniqueName index="1" name="[Gráf_BTC_Hist_Cotações].[Hora].&amp;[1899-12-30T14:45:32]"/>
            <x15:cachedUniqueName index="2" name="[Gráf_BTC_Hist_Cotações].[Hora].&amp;[1899-12-30T08:55:46]"/>
            <x15:cachedUniqueName index="3" name="[Gráf_BTC_Hist_Cotações].[Hora].&amp;[1899-12-30T16:48:42]"/>
            <x15:cachedUniqueName index="4" name="[Gráf_BTC_Hist_Cotações].[Hora].&amp;[1899-12-30T17:34:11]"/>
            <x15:cachedUniqueName index="5" name="[Gráf_BTC_Hist_Cotações].[Hora].&amp;[1899-12-30T19:11:47]"/>
            <x15:cachedUniqueName index="6" name="[Gráf_BTC_Hist_Cotações].[Hora].&amp;[1899-12-30T11:44:44]"/>
            <x15:cachedUniqueName index="7" name="[Gráf_BTC_Hist_Cotações].[Hora].&amp;[1899-12-30T12:06:35]"/>
            <x15:cachedUniqueName index="8" name="[Gráf_BTC_Hist_Cotações].[Hora].&amp;[1899-12-30T12:41:33]"/>
            <x15:cachedUniqueName index="9" name="[Gráf_BTC_Hist_Cotações].[Hora].&amp;[1899-12-30T16:44:43]"/>
          </x15:cachedUniqueNames>
        </ext>
      </extLst>
    </cacheField>
    <cacheField name="[Measures].[Média de Cotação 2]" caption="Média de Cotação 2" numFmtId="0" hierarchy="46" level="32767"/>
  </cacheFields>
  <cacheHierarchies count="60">
    <cacheHierarchy uniqueName="[Gráf_BTC_Hist_Cotações].[Data]" caption="Data" attribute="1" time="1" defaultMemberUniqueName="[Gráf_BTC_Hist_Cotações].[Data].[All]" allUniqueName="[Gráf_BTC_Hist_Cotações].[Data].[All]" dimensionUniqueName="[Gráf_BTC_Hist_Cotações]" displayFolder="" count="2" memberValueDatatype="7" unbalanced="0">
      <fieldsUsage count="2">
        <fieldUsage x="-1"/>
        <fieldUsage x="0"/>
      </fieldsUsage>
    </cacheHierarchy>
    <cacheHierarchy uniqueName="[Gráf_BTC_Hist_Cotações].[Hora]" caption="Hora" attribute="1" time="1" defaultMemberUniqueName="[Gráf_BTC_Hist_Cotações].[Hora].[All]" allUniqueName="[Gráf_BTC_Hist_Cotações].[Hora].[All]" dimensionUniqueName="[Gráf_BTC_Hist_Cotações]" displayFolder="" count="2" memberValueDatatype="7" unbalanced="0">
      <fieldsUsage count="2">
        <fieldUsage x="-1"/>
        <fieldUsage x="1"/>
      </fieldsUsage>
    </cacheHierarchy>
    <cacheHierarchy uniqueName="[Gráf_BTC_Hist_Cotações].[Moeda]" caption="Moeda" attribute="1" defaultMemberUniqueName="[Gráf_BTC_Hist_Cotações].[Moeda].[All]" allUniqueName="[Gráf_BTC_Hist_Cotações].[Moeda].[All]" dimensionUniqueName="[Gráf_BTC_Hist_Cotações]" displayFolder="" count="0" memberValueDatatype="130" unbalanced="0"/>
    <cacheHierarchy uniqueName="[Gráf_BTC_Hist_Cotações].[Cotação]" caption="Cotação" attribute="1" defaultMemberUniqueName="[Gráf_BTC_Hist_Cotações].[Cotação].[All]" allUniqueName="[Gráf_BTC_Hist_Cotações].[Cotação].[All]" dimensionUniqueName="[Gráf_BTC_Hist_Cotações]" displayFolder="" count="0" memberValueDatatype="5" unbalanced="0"/>
    <cacheHierarchy uniqueName="[Gráf_BTC_Hist_Cotações].[Hora (Hora)]" caption="Hora (Hora)" attribute="1" defaultMemberUniqueName="[Gráf_BTC_Hist_Cotações].[Hora (Hora)].[All]" allUniqueName="[Gráf_BTC_Hist_Cotações].[Hora (Hora)].[All]" dimensionUniqueName="[Gráf_BTC_Hist_Cotações]" displayFolder="" count="0" memberValueDatatype="130" unbalanced="0"/>
    <cacheHierarchy uniqueName="[Gráf_BTC_Hist_Cotações].[Hora (Minuto)]" caption="Hora (Minuto)" attribute="1" defaultMemberUniqueName="[Gráf_BTC_Hist_Cotações].[Hora (Minuto)].[All]" allUniqueName="[Gráf_BTC_Hist_Cotações].[Hora (Minuto)].[All]" dimensionUniqueName="[Gráf_BTC_Hist_Cotações]" displayFolder="" count="0" memberValueDatatype="130" unbalanced="0"/>
    <cacheHierarchy uniqueName="[Gráf_BTC_Hist_Cotações].[Hora (Segundo)]" caption="Hora (Segundo)" attribute="1" defaultMemberUniqueName="[Gráf_BTC_Hist_Cotações].[Hora (Segundo)].[All]" allUniqueName="[Gráf_BTC_Hist_Cotações].[Hora (Segundo)].[All]" dimensionUniqueName="[Gráf_BTC_Hist_Cotações]" displayFolder="" count="0" memberValueDatatype="130" unbalanced="0"/>
    <cacheHierarchy uniqueName="[Gráf_USD_Hist_Cotações].[Data]" caption="Data" attribute="1" time="1" defaultMemberUniqueName="[Gráf_USD_Hist_Cotações].[Data].[All]" allUniqueName="[Gráf_USD_Hist_Cotações].[Data].[All]" dimensionUniqueName="[Gráf_USD_Hist_Cotações]" displayFolder="" count="0" memberValueDatatype="7" unbalanced="0"/>
    <cacheHierarchy uniqueName="[Gráf_USD_Hist_Cotações].[Hora]" caption="Hora" attribute="1" time="1" defaultMemberUniqueName="[Gráf_USD_Hist_Cotações].[Hora].[All]" allUniqueName="[Gráf_USD_Hist_Cotações].[Hora].[All]" dimensionUniqueName="[Gráf_USD_Hist_Cotações]" displayFolder="" count="0" memberValueDatatype="7" unbalanced="0"/>
    <cacheHierarchy uniqueName="[Gráf_USD_Hist_Cotações].[Moeda]" caption="Moeda" attribute="1" defaultMemberUniqueName="[Gráf_USD_Hist_Cotações].[Moeda].[All]" allUniqueName="[Gráf_USD_Hist_Cotações].[Moeda].[All]" dimensionUniqueName="[Gráf_USD_Hist_Cotações]" displayFolder="" count="0" memberValueDatatype="130" unbalanced="0"/>
    <cacheHierarchy uniqueName="[Gráf_USD_Hist_Cotações].[Cotação]" caption="Cotação" attribute="1" defaultMemberUniqueName="[Gráf_USD_Hist_Cotações].[Cotação].[All]" allUniqueName="[Gráf_USD_Hist_Cotações].[Cotação].[All]" dimensionUniqueName="[Gráf_USD_Hist_Cotações]" displayFolder="" count="0" memberValueDatatype="5" unbalanced="0"/>
    <cacheHierarchy uniqueName="[Gráf_Var_Perc].[Data]" caption="Data" attribute="1" time="1" defaultMemberUniqueName="[Gráf_Var_Perc].[Data].[All]" allUniqueName="[Gráf_Var_Perc].[Data].[All]" dimensionUniqueName="[Gráf_Var_Perc]" displayFolder="" count="0" memberValueDatatype="7" unbalanced="0"/>
    <cacheHierarchy uniqueName="[Gráf_Var_Perc].[Hora]" caption="Hora" attribute="1" time="1" defaultMemberUniqueName="[Gráf_Var_Perc].[Hora].[All]" allUniqueName="[Gráf_Var_Perc].[Hora].[All]" dimensionUniqueName="[Gráf_Var_Perc]" displayFolder="" count="0" memberValueDatatype="7" unbalanced="0"/>
    <cacheHierarchy uniqueName="[Gráf_Var_Perc].[Var_BTC]" caption="Var_BTC" attribute="1" defaultMemberUniqueName="[Gráf_Var_Perc].[Var_BTC].[All]" allUniqueName="[Gráf_Var_Perc].[Var_BTC].[All]" dimensionUniqueName="[Gráf_Var_Perc]" displayFolder="" count="0" memberValueDatatype="5" unbalanced="0"/>
    <cacheHierarchy uniqueName="[Gráf_Var_Perc].[Var_USD]" caption="Var_USD" attribute="1" defaultMemberUniqueName="[Gráf_Var_Perc].[Var_USD].[All]" allUniqueName="[Gráf_Var_Perc].[Var_USD].[All]" dimensionUniqueName="[Gráf_Var_Perc]" displayFolder="" count="0" memberValueDatatype="5" unbalanced="0"/>
    <cacheHierarchy uniqueName="[Gráf_Var_Perc].[Hora (Hora)]" caption="Hora (Hora)" attribute="1" defaultMemberUniqueName="[Gráf_Var_Perc].[Hora (Hora)].[All]" allUniqueName="[Gráf_Var_Perc].[Hora (Hora)].[All]" dimensionUniqueName="[Gráf_Var_Perc]" displayFolder="" count="0" memberValueDatatype="130" unbalanced="0"/>
    <cacheHierarchy uniqueName="[Gráf_Var_Perc].[Hora (Minuto)]" caption="Hora (Minuto)" attribute="1" defaultMemberUniqueName="[Gráf_Var_Perc].[Hora (Minuto)].[All]" allUniqueName="[Gráf_Var_Perc].[Hora (Minuto)].[All]" dimensionUniqueName="[Gráf_Var_Perc]" displayFolder="" count="0" memberValueDatatype="130" unbalanced="0"/>
    <cacheHierarchy uniqueName="[Gráf_Var_Perc_Aux_Ant].[Data]" caption="Data" attribute="1" time="1" defaultMemberUniqueName="[Gráf_Var_Perc_Aux_Ant].[Data].[All]" allUniqueName="[Gráf_Var_Perc_Aux_Ant].[Data].[All]" dimensionUniqueName="[Gráf_Var_Perc_Aux_Ant]" displayFolder="" count="0" memberValueDatatype="7" unbalanced="0"/>
    <cacheHierarchy uniqueName="[Gráf_Var_Perc_Aux_Ant].[Hora]" caption="Hora" attribute="1" time="1" defaultMemberUniqueName="[Gráf_Var_Perc_Aux_Ant].[Hora].[All]" allUniqueName="[Gráf_Var_Perc_Aux_Ant].[Hora].[All]" dimensionUniqueName="[Gráf_Var_Perc_Aux_Ant]" displayFolder="" count="0" memberValueDatatype="7" unbalanced="0"/>
    <cacheHierarchy uniqueName="[Gráf_Var_Perc_Aux_Ant].[bitcoin]" caption="bitcoin" attribute="1" defaultMemberUniqueName="[Gráf_Var_Perc_Aux_Ant].[bitcoin].[All]" allUniqueName="[Gráf_Var_Perc_Aux_Ant].[bitcoin].[All]" dimensionUniqueName="[Gráf_Var_Perc_Aux_Ant]" displayFolder="" count="0" memberValueDatatype="5" unbalanced="0"/>
    <cacheHierarchy uniqueName="[Gráf_Var_Perc_Aux_Ant].[usd]" caption="usd" attribute="1" defaultMemberUniqueName="[Gráf_Var_Perc_Aux_Ant].[usd].[All]" allUniqueName="[Gráf_Var_Perc_Aux_Ant].[usd].[All]" dimensionUniqueName="[Gráf_Var_Perc_Aux_Ant]" displayFolder="" count="0" memberValueDatatype="5" unbalanced="0"/>
    <cacheHierarchy uniqueName="[Gráf_Var_Perc_Aux_Ant].[Índice]" caption="Índice" attribute="1" defaultMemberUniqueName="[Gráf_Var_Perc_Aux_Ant].[Índice].[All]" allUniqueName="[Gráf_Var_Perc_Aux_Ant].[Índice].[All]" dimensionUniqueName="[Gráf_Var_Perc_Aux_Ant]" displayFolder="" count="0" memberValueDatatype="20" unbalanced="0"/>
    <cacheHierarchy uniqueName="[t_Hist_Cotações].[Data]" caption="Data" attribute="1" time="1" defaultMemberUniqueName="[t_Hist_Cotações].[Data].[All]" allUniqueName="[t_Hist_Cotações].[Data].[All]" dimensionUniqueName="[t_Hist_Cotações]" displayFolder="" count="0" memberValueDatatype="7" unbalanced="0"/>
    <cacheHierarchy uniqueName="[t_Hist_Cotações].[Hora]" caption="Hora" attribute="1" time="1" defaultMemberUniqueName="[t_Hist_Cotações].[Hora].[All]" allUniqueName="[t_Hist_Cotações].[Hora].[All]" dimensionUniqueName="[t_Hist_Cotações]" displayFolder="" count="0" memberValueDatatype="7" unbalanced="0"/>
    <cacheHierarchy uniqueName="[t_Hist_Cotações].[Moeda]" caption="Moeda" attribute="1" defaultMemberUniqueName="[t_Hist_Cotações].[Moeda].[All]" allUniqueName="[t_Hist_Cotações].[Moeda].[All]" dimensionUniqueName="[t_Hist_Cotações]" displayFolder="" count="0" memberValueDatatype="130" unbalanced="0"/>
    <cacheHierarchy uniqueName="[t_Hist_Cotações].[Cotação]" caption="Cotação" attribute="1" defaultMemberUniqueName="[t_Hist_Cotações].[Cotação].[All]" allUniqueName="[t_Hist_Cotações].[Cotação].[All]" dimensionUniqueName="[t_Hist_Cotações]" displayFolder="" count="0" memberValueDatatype="5" unbalanced="0"/>
    <cacheHierarchy uniqueName="[t_Hist_Cotações].[Hora (Hora)]" caption="Hora (Hora)" attribute="1" defaultMemberUniqueName="[t_Hist_Cotações].[Hora (Hora)].[All]" allUniqueName="[t_Hist_Cotações].[Hora (Hora)].[All]" dimensionUniqueName="[t_Hist_Cotações]" displayFolder="" count="0" memberValueDatatype="130" unbalanced="0"/>
    <cacheHierarchy uniqueName="[t_Hist_Cotações].[Hora (Minuto)]" caption="Hora (Minuto)" attribute="1" defaultMemberUniqueName="[t_Hist_Cotações].[Hora (Minuto)].[All]" allUniqueName="[t_Hist_Cotações].[Hora (Minuto)].[All]" dimensionUniqueName="[t_Hist_Cotações]" displayFolder="" count="0" memberValueDatatype="130" unbalanced="0"/>
    <cacheHierarchy uniqueName="[t_Hist_Simul_Tran].[Data]" caption="Data" attribute="1" time="1" defaultMemberUniqueName="[t_Hist_Simul_Tran].[Data].[All]" allUniqueName="[t_Hist_Simul_Tran].[Data].[All]" dimensionUniqueName="[t_Hist_Simul_Tran]" displayFolder="" count="0" memberValueDatatype="7" unbalanced="0"/>
    <cacheHierarchy uniqueName="[t_Hist_Simul_Tran].[Tipo]" caption="Tipo" attribute="1" defaultMemberUniqueName="[t_Hist_Simul_Tran].[Tipo].[All]" allUniqueName="[t_Hist_Simul_Tran].[Tipo].[All]" dimensionUniqueName="[t_Hist_Simul_Tran]" displayFolder="" count="0" memberValueDatatype="130" unbalanced="0"/>
    <cacheHierarchy uniqueName="[t_Hist_Simul_Tran].[Moeda]" caption="Moeda" attribute="1" defaultMemberUniqueName="[t_Hist_Simul_Tran].[Moeda].[All]" allUniqueName="[t_Hist_Simul_Tran].[Moeda].[All]" dimensionUniqueName="[t_Hist_Simul_Tran]" displayFolder="" count="0" memberValueDatatype="130" unbalanced="0"/>
    <cacheHierarchy uniqueName="[t_Hist_Simul_Tran].[Valor]" caption="Valor" attribute="1" defaultMemberUniqueName="[t_Hist_Simul_Tran].[Valor].[All]" allUniqueName="[t_Hist_Simul_Tran].[Valor].[All]" dimensionUniqueName="[t_Hist_Simul_Tran]" displayFolder="" count="0" memberValueDatatype="5" unbalanced="0"/>
    <cacheHierarchy uniqueName="[t_Hist_Simul_Tran].[Cotação]" caption="Cotação" attribute="1" defaultMemberUniqueName="[t_Hist_Simul_Tran].[Cotação].[All]" allUniqueName="[t_Hist_Simul_Tran].[Cotação].[All]" dimensionUniqueName="[t_Hist_Simul_Tran]" displayFolder="" count="0" memberValueDatatype="5" unbalanced="0"/>
    <cacheHierarchy uniqueName="[t_Hist_Simul_Tran].[Taxa Administração]" caption="Taxa Administração" attribute="1" defaultMemberUniqueName="[t_Hist_Simul_Tran].[Taxa Administração].[All]" allUniqueName="[t_Hist_Simul_Tran].[Taxa Administração].[All]" dimensionUniqueName="[t_Hist_Simul_Tran]" displayFolder="" count="0" memberValueDatatype="5" unbalanced="0"/>
    <cacheHierarchy uniqueName="[t_Hist_Simul_Tran].[Desconto]" caption="Desconto" attribute="1" defaultMemberUniqueName="[t_Hist_Simul_Tran].[Desconto].[All]" allUniqueName="[t_Hist_Simul_Tran].[Desconto].[All]" dimensionUniqueName="[t_Hist_Simul_Tran]" displayFolder="" count="0" memberValueDatatype="130" unbalanced="0"/>
    <cacheHierarchy uniqueName="[t_Hist_Simul_Tran].[Valor Total]" caption="Valor Total" attribute="1" defaultMemberUniqueName="[t_Hist_Simul_Tran].[Valor Total].[All]" allUniqueName="[t_Hist_Simul_Tran].[Valor Total].[All]" dimensionUniqueName="[t_Hist_Simul_Tran]" displayFolder="" count="0" memberValueDatatype="5" unbalanced="0"/>
    <cacheHierarchy uniqueName="[Measures].[__XL_Count Gráf_USD_Hist_Cotações]" caption="__XL_Count Gráf_USD_Hist_Cotações" measure="1" displayFolder="" measureGroup="Gráf_USD_Hist_Cotações" count="0" hidden="1"/>
    <cacheHierarchy uniqueName="[Measures].[__XL_Count Gráf_BTC_Hist_Cotações]" caption="__XL_Count Gráf_BTC_Hist_Cotações" measure="1" displayFolder="" measureGroup="Gráf_BTC_Hist_Cotações" count="0" hidden="1"/>
    <cacheHierarchy uniqueName="[Measures].[__XL_Count t_Hist_Simul_Tran]" caption="__XL_Count t_Hist_Simul_Tran" measure="1" displayFolder="" measureGroup="t_Hist_Simul_Tran" count="0" hidden="1"/>
    <cacheHierarchy uniqueName="[Measures].[__XL_Count t_Hist_Cotações]" caption="__XL_Count t_Hist_Cotações" measure="1" displayFolder="" measureGroup="t_Hist_Cotações" count="0" hidden="1"/>
    <cacheHierarchy uniqueName="[Measures].[__XL_Count Gráf_Var_Perc]" caption="__XL_Count Gráf_Var_Perc" measure="1" displayFolder="" measureGroup="Gráf_Var_Perc" count="0" hidden="1"/>
    <cacheHierarchy uniqueName="[Measures].[__XL_Count Gráf_Var_Perc_Aux_Ant]" caption="__XL_Count Gráf_Var_Perc_Aux_Ant" measure="1" displayFolder="" measureGroup="Gráf_Var_Perc_Aux_Ant" count="0" hidden="1"/>
    <cacheHierarchy uniqueName="[Measures].[__No measures defined]" caption="__No measures defined" measure="1" displayFolder="" count="0" hidden="1"/>
    <cacheHierarchy uniqueName="[Measures].[Soma de Cotação 2]" caption="Soma de Cotação 2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Média de Cotação]" caption="Média de Cotação" measure="1" displayFolder="" measureGroup="Gráf_USD_Hist_Cotaçõ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Cotação]" caption="Soma de Cotação" measure="1" displayFolder="" measureGroup="Gráf_BTC_Hist_Cotaçõe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Média de Cotação 2]" caption="Média de Cotação 2" measure="1" displayFolder="" measureGroup="Gráf_BTC_Hist_Cotaçõ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Data]" caption="Contagem de Data" measure="1" displayFolder="" measureGroup="t_Hist_Simul_Tran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Cotação 3]" caption="Som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Média de Cotação 3]" caption="Média de Cotação 3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p de Cotação]" caption="Var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ar de Cotação]" caption="Var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 de Cotação]" caption="StdDev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tdDevp de Cotação]" caption="StdDevp de Cotação" measure="1" displayFolder="" measureGroup="t_Hist_Cotaçõ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ntagem de Var_BTC]" caption="Contagem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Var_USD]" caption="Contagem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ar_BTC]" caption="Som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a de Var_USD]" caption="Som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édia de Var_BTC]" caption="Média de Var_BTC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édia de Var_USD]" caption="Média de Var_USD" measure="1" displayFolder="" measureGroup="Gráf_Var_Perc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7">
    <dimension name="Gráf_BTC_Hist_Cotações" uniqueName="[Gráf_BTC_Hist_Cotações]" caption="Gráf_BTC_Hist_Cotações"/>
    <dimension name="Gráf_USD_Hist_Cotações" uniqueName="[Gráf_USD_Hist_Cotações]" caption="Gráf_USD_Hist_Cotações"/>
    <dimension name="Gráf_Var_Perc" uniqueName="[Gráf_Var_Perc]" caption="Gráf_Var_Perc"/>
    <dimension name="Gráf_Var_Perc_Aux_Ant" uniqueName="[Gráf_Var_Perc_Aux_Ant]" caption="Gráf_Var_Perc_Aux_Ant"/>
    <dimension measure="1" name="Measures" uniqueName="[Measures]" caption="Measures"/>
    <dimension name="t_Hist_Cotações" uniqueName="[t_Hist_Cotações]" caption="t_Hist_Cotações"/>
    <dimension name="t_Hist_Simul_Tran" uniqueName="[t_Hist_Simul_Tran]" caption="t_Hist_Simul_Tran"/>
  </dimensions>
  <measureGroups count="6">
    <measureGroup name="Gráf_BTC_Hist_Cotações" caption="Gráf_BTC_Hist_Cotações"/>
    <measureGroup name="Gráf_USD_Hist_Cotações" caption="Gráf_USD_Hist_Cotações"/>
    <measureGroup name="Gráf_Var_Perc" caption="Gráf_Var_Perc"/>
    <measureGroup name="Gráf_Var_Perc_Aux_Ant" caption="Gráf_Var_Perc_Aux_Ant"/>
    <measureGroup name="t_Hist_Cotações" caption="t_Hist_Cotações"/>
    <measureGroup name="t_Hist_Simul_Tran" caption="t_Hist_Simul_Tran"/>
  </measureGroups>
  <maps count="6">
    <map measureGroup="0" dimension="0"/>
    <map measureGroup="1" dimension="1"/>
    <map measureGroup="2" dimension="2"/>
    <map measureGroup="3" dimension="3"/>
    <map measureGroup="4" dimension="5"/>
    <map measureGroup="5" dimension="6"/>
  </maps>
  <extLst>
    <ext xmlns:x14="http://schemas.microsoft.com/office/spreadsheetml/2009/9/main" uri="{725AE2AE-9491-48be-B2B4-4EB974FC3084}">
      <x14:pivotCacheDefinition pivotCacheId="188784722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72CF0-AC50-465D-A2E6-13EF404298BE}" name="PivotChartTable1" cacheId="45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7">
  <location ref="A1:B16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2">
    <field x="0"/>
    <field x="1"/>
  </rowFields>
  <rowItems count="15">
    <i>
      <x/>
    </i>
    <i r="1">
      <x/>
    </i>
    <i>
      <x v="1"/>
    </i>
    <i r="1">
      <x v="1"/>
    </i>
    <i>
      <x v="2"/>
    </i>
    <i r="1">
      <x v="2"/>
    </i>
    <i r="1">
      <x v="3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Média de Cotação" fld="2" subtotal="average" baseField="1" baseItem="9" numFmtId="165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édia de Cotaç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2">
    <rowHierarchyUsage hierarchyUsage="7"/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5" columnCount="1" cacheId="2092237034">
        <x15:pivotRow count="1">
          <x15:c t="e">
            <x15:v/>
          </x15:c>
        </x15:pivotRow>
        <x15:pivotRow count="1">
          <x15:c>
            <x15:v>5.96</x15:v>
          </x15:c>
        </x15:pivotRow>
        <x15:pivotRow count="1">
          <x15:c t="e">
            <x15:v/>
          </x15:c>
        </x15:pivotRow>
        <x15:pivotRow count="1">
          <x15:c>
            <x15:v>6.16</x15:v>
          </x15:c>
        </x15:pivotRow>
        <x15:pivotRow count="1">
          <x15:c t="e">
            <x15:v/>
          </x15:c>
        </x15:pivotRow>
        <x15:pivotRow count="1">
          <x15:c>
            <x15:v>5.88</x15:v>
          </x15:c>
        </x15:pivotRow>
        <x15:pivotRow count="1">
          <x15:c>
            <x15:v>5.76</x15:v>
          </x15:c>
        </x15:pivotRow>
        <x15:pivotRow count="1">
          <x15:c>
            <x15:v>5.77</x15:v>
          </x15:c>
        </x15:pivotRow>
        <x15:pivotRow count="1">
          <x15:c>
            <x15:v>5.75</x15:v>
          </x15:c>
        </x15:pivotRow>
        <x15:pivotRow count="1">
          <x15:c t="e">
            <x15:v/>
          </x15:c>
        </x15:pivotRow>
        <x15:pivotRow count="1">
          <x15:c>
            <x15:v>5.74</x15:v>
          </x15:c>
        </x15:pivotRow>
        <x15:pivotRow count="1">
          <x15:c>
            <x15:v>5.75</x15:v>
          </x15:c>
        </x15:pivotRow>
        <x15:pivotRow count="1">
          <x15:c>
            <x15:v>5.74</x15:v>
          </x15:c>
        </x15:pivotRow>
        <x15:pivotRow count="1">
          <x15:c>
            <x15:v>5.77</x15:v>
          </x15:c>
        </x15:pivotRow>
        <x15:pivotRow count="1">
          <x15:c>
            <x15:v>5.8280000000000003</x15:v>
          </x15:c>
        </x15:pivotRow>
      </x15:pivotTableData>
    </ext>
    <ext xmlns:x15="http://schemas.microsoft.com/office/spreadsheetml/2010/11/main" uri="{E67621CE-5B39-4880-91FE-76760E9C1902}">
      <x15:pivotTableUISettings sourceDataName="Consulta - Gráf_USD_Hist_Cotações">
        <x15:activeTabTopLevelEntity name="[Gráf_USD_Hist_Cotaçõ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EF93CA-E31A-4654-8702-DDE2A6F260A5}" name="PivotChartTable2" cacheId="46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4">
  <location ref="A1:B16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2">
    <field x="0"/>
    <field x="1"/>
  </rowFields>
  <rowItems count="15">
    <i>
      <x/>
    </i>
    <i r="1">
      <x/>
    </i>
    <i>
      <x v="1"/>
    </i>
    <i r="1">
      <x v="1"/>
    </i>
    <i>
      <x v="2"/>
    </i>
    <i r="1">
      <x v="2"/>
    </i>
    <i r="1">
      <x v="3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Média de Cotação" fld="2" subtotal="average" baseField="0" baseItem="0" numFmtId="169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Média de Cotaçã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2">
    <rowHierarchyUsage hierarchyUsage="0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5" columnCount="1" cacheId="1887847224">
        <x15:pivotRow count="1">
          <x15:c t="e">
            <x15:v/>
          </x15:c>
        </x15:pivotRow>
        <x15:pivotRow count="1">
          <x15:c>
            <x15:v>536.35299999999995</x15:v>
          </x15:c>
        </x15:pivotRow>
        <x15:pivotRow count="1">
          <x15:c t="e">
            <x15:v/>
          </x15:c>
        </x15:pivotRow>
        <x15:pivotRow count="1">
          <x15:c>
            <x15:v>525.88400000000001</x15:v>
          </x15:c>
        </x15:pivotRow>
        <x15:pivotRow count="1">
          <x15:c t="e">
            <x15:v/>
          </x15:c>
        </x15:pivotRow>
        <x15:pivotRow count="1">
          <x15:c>
            <x15:v>528.02499999999998</x15:v>
          </x15:c>
        </x15:pivotRow>
        <x15:pivotRow count="1">
          <x15:c>
            <x15:v>517.06100000000004</x15:v>
          </x15:c>
        </x15:pivotRow>
        <x15:pivotRow count="1">
          <x15:c>
            <x15:v>519.61099999999999</x15:v>
          </x15:c>
        </x15:pivotRow>
        <x15:pivotRow count="1">
          <x15:c>
            <x15:v>518.17999999999995</x15:v>
          </x15:c>
        </x15:pivotRow>
        <x15:pivotRow count="1">
          <x15:c t="e">
            <x15:v/>
          </x15:c>
        </x15:pivotRow>
        <x15:pivotRow count="1">
          <x15:c>
            <x15:v>513.68899999999996</x15:v>
          </x15:c>
        </x15:pivotRow>
        <x15:pivotRow count="1">
          <x15:c>
            <x15:v>519.99400000000003</x15:v>
          </x15:c>
        </x15:pivotRow>
        <x15:pivotRow count="1">
          <x15:c>
            <x15:v>525.30999999999995</x15:v>
          </x15:c>
        </x15:pivotRow>
        <x15:pivotRow count="1">
          <x15:c>
            <x15:v>510.90600000000001</x15:v>
          </x15:c>
        </x15:pivotRow>
        <x15:pivotRow count="1">
          <x15:c>
            <x15:v>521.50130000000001</x15:v>
          </x15:c>
        </x15:pivotRow>
      </x15:pivotTableData>
    </ext>
    <ext xmlns:x15="http://schemas.microsoft.com/office/spreadsheetml/2010/11/main" uri="{E67621CE-5B39-4880-91FE-76760E9C1902}">
      <x15:pivotTableUISettings sourceDataName="Consulta - Gráf_BTC_Hist_Cotações">
        <x15:activeTabTopLevelEntity name="[Gráf_BTC_Hist_Cotaçõ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AF50DB-74C0-44B9-84E4-ACA253B13BCB}" name="PivotChartTable4" cacheId="45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4">
  <location ref="A1:C16" firstHeaderRow="0" firstDataRow="1" firstDataCol="1"/>
  <pivotFields count="4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2">
    <field x="0"/>
    <field x="1"/>
  </rowFields>
  <rowItems count="15">
    <i>
      <x/>
    </i>
    <i r="1">
      <x/>
    </i>
    <i>
      <x v="1"/>
    </i>
    <i r="1">
      <x v="1"/>
    </i>
    <i>
      <x v="2"/>
    </i>
    <i r="1">
      <x v="2"/>
    </i>
    <i r="1">
      <x v="3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Variação % BTC" fld="2" subtotal="average" baseField="0" baseItem="0" numFmtId="2"/>
    <dataField name="Variação % USD" fld="3" subtotal="average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ção % BTC"/>
    <pivotHierarchy dragToData="1" caption="Variação % USD"/>
  </pivotHierarchies>
  <rowHierarchiesUsage count="2">
    <rowHierarchyUsage hierarchyUsage="11"/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5" columnCount="2" cacheId="1638906944">
        <x15:pivotRow count="2">
          <x15:c t="e">
            <x15:v/>
          </x15:c>
          <x15:c t="e">
            <x15:v/>
          </x15:c>
        </x15:pivotRow>
        <x15:pivotRow count="2">
          <x15:c>
            <x15:v>-0.65513345311081883</x15:v>
          </x15:c>
          <x15:c>
            <x15:v>0.33670033670032951</x15:v>
          </x15:c>
        </x15:pivotRow>
        <x15:pivotRow count="2">
          <x15:c t="e">
            <x15:v/>
          </x15:c>
          <x15:c t="e">
            <x15:v/>
          </x15:c>
        </x15:pivotRow>
        <x15:pivotRow count="2">
          <x15:c>
            <x15:v>-1.9518861645222456</x15:v>
          </x15:c>
          <x15:c>
            <x15:v>3.3557046979865799</x15:v>
          </x15:c>
        </x15:pivotRow>
        <x15:pivotRow count="2">
          <x15:c t="e">
            <x15:v/>
          </x15:c>
          <x15:c t="e">
            <x15:v/>
          </x15:c>
        </x15:pivotRow>
        <x15:pivotRow count="2">
          <x15:c>
            <x15:v>0.40712400453331915</x15:v>
          </x15:c>
          <x15:c>
            <x15:v>-4.5454545454545494</x15:v>
          </x15:c>
        </x15:pivotRow>
        <x15:pivotRow count="2">
          <x15:c>
            <x15:v>-2.0764168363240376</x15:v>
          </x15:c>
          <x15:c>
            <x15:v>-2.0408163265306141</x15:v>
          </x15:c>
        </x15:pivotRow>
        <x15:pivotRow count="2">
          <x15:c>
            <x15:v>0.49317198551041369</x15:v>
          </x15:c>
          <x15:c>
            <x15:v>0.17361111111110741</x15:v>
          </x15:c>
        </x15:pivotRow>
        <x15:pivotRow count="2">
          <x15:c>
            <x15:v>-0.27539832682525967</x15:v>
          </x15:c>
          <x15:c>
            <x15:v>-0.34662045060657842</x15:v>
          </x15:c>
        </x15:pivotRow>
        <x15:pivotRow count="2">
          <x15:c t="e">
            <x15:v/>
          </x15:c>
          <x15:c t="e">
            <x15:v/>
          </x15:c>
        </x15:pivotRow>
        <x15:pivotRow count="2">
          <x15:c>
            <x15:v>-0.86668725153421589</x15:v>
          </x15:c>
          <x15:c>
            <x15:v>-0.17391304347825717</x15:v>
          </x15:c>
        </x15:pivotRow>
        <x15:pivotRow count="2">
          <x15:c>
            <x15:v>1.227396342923442</x15:v>
          </x15:c>
          <x15:c>
            <x15:v>0.17421602787456072</x15:v>
          </x15:c>
        </x15:pivotRow>
        <x15:pivotRow count="2">
          <x15:c>
            <x15:v>1.0223194883017881</x15:v>
          </x15:c>
          <x15:c>
            <x15:v>-0.17391304347825717</x15:v>
          </x15:c>
        </x15:pivotRow>
        <x15:pivotRow count="2">
          <x15:c>
            <x15:v>-2.741999961927243</x15:v>
          </x15:c>
          <x15:c>
            <x15:v>0.5226480836236822</x15:v>
          </x15:c>
        </x15:pivotRow>
        <x15:pivotRow count="2">
          <x15:c>
            <x15:v>-0.54175101729748576</x15:v>
          </x15:c>
          <x15:c>
            <x15:v>-0.27178371522519962</x15:v>
          </x15:c>
        </x15:pivotRow>
      </x15:pivotTableData>
    </ext>
    <ext xmlns:x15="http://schemas.microsoft.com/office/spreadsheetml/2010/11/main" uri="{E67621CE-5B39-4880-91FE-76760E9C1902}">
      <x15:pivotTableUISettings sourceDataName="Consulta - Gráf_Var_Perc">
        <x15:activeTabTopLevelEntity name="[Gráf_Var_Perc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58888-E606-4F9E-8EAB-CE539A64402C}" name="Tab_Din_Tipo" cacheId="523" applyNumberFormats="0" applyBorderFormats="0" applyFontFormats="0" applyPatternFormats="0" applyAlignmentFormats="0" applyWidthHeightFormats="1" dataCaption="Valores" updatedVersion="8" minRefreshableVersion="3" subtotalHiddenItems="1" itemPrintTitles="1" createdVersion="8" indent="0" outline="1" outlineData="1" multipleFieldFilters="0" chartFormat="10">
  <location ref="B5:C8" firstHeaderRow="1" firstDataRow="1" firstDataCol="1"/>
  <pivotFields count="2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ntagem de Data" fld="1" subtotal="count" baseField="0" baseItem="0"/>
  </dataFields>
  <chartFormats count="3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BA.xlsm!t_Hist_Simul_Tran">
        <x15:activeTabTopLevelEntity name="[t_Hist_Simul_Tra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C1C79-C858-4D80-B5CE-AD0222676A07}" name="Tab_Din_Resumo" cacheId="532" applyNumberFormats="0" applyBorderFormats="0" applyFontFormats="0" applyPatternFormats="0" applyAlignmentFormats="0" applyWidthHeightFormats="1" dataCaption="Valores" updatedVersion="8" minRefreshableVersion="3" subtotalHiddenItems="1" colGrandTotals="0" itemPrintTitles="1" createdVersion="8" indent="0" outline="1" outlineData="1" multipleFieldFilters="0" chartFormat="26">
  <location ref="K5:M13" firstHeaderRow="1" firstDataRow="2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2">
        <item n="Sem desconto" x="0"/>
        <item n="Com desconto" x="1"/>
      </items>
    </pivotField>
  </pivotFields>
  <rowFields count="2">
    <field x="1"/>
    <field x="2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3"/>
  </colFields>
  <colItems count="2">
    <i>
      <x/>
    </i>
    <i>
      <x v="1"/>
    </i>
  </colItems>
  <dataFields count="1">
    <dataField name="Contagem de Data" fld="0" subtotal="count" baseField="0" baseItem="0"/>
  </dataFields>
  <chartFormats count="5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5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30"/>
  </rowHierarchiesUsage>
  <colHierarchiesUsage count="1">
    <colHierarchyUsage hierarchyUsage="3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BA.xlsm!t_Hist_Simul_Tran">
        <x15:activeTabTopLevelEntity name="[t_Hist_Simul_Tra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50F7DA-3275-401C-9645-260345C62B7A}" name="Tab_Din_Desco" cacheId="529" applyNumberFormats="0" applyBorderFormats="0" applyFontFormats="0" applyPatternFormats="0" applyAlignmentFormats="0" applyWidthHeightFormats="1" dataCaption="Valores" updatedVersion="8" minRefreshableVersion="3" subtotalHiddenItems="1" itemPrintTitles="1" createdVersion="8" indent="0" outline="1" outlineData="1" multipleFieldFilters="0" chartFormat="12">
  <location ref="H5:I8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ntagem de Data" fld="0" subtotal="count" baseField="0" baseItem="0"/>
  </dataField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BA.xlsm!t_Hist_Simul_Tran">
        <x15:activeTabTopLevelEntity name="[t_Hist_Simul_Tra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D85AA-AAEB-4A22-BF6B-A5A88D9652A6}" name="Tab_Din_Moeda" cacheId="526" applyNumberFormats="0" applyBorderFormats="0" applyFontFormats="0" applyPatternFormats="0" applyAlignmentFormats="0" applyWidthHeightFormats="1" dataCaption="Valores" updatedVersion="8" minRefreshableVersion="3" subtotalHiddenItems="1" itemPrintTitles="1" createdVersion="8" indent="0" outline="1" outlineData="1" multipleFieldFilters="0" chartFormat="11">
  <location ref="E5:F8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ntagem de Data" fld="0" subtotal="count" baseField="0" baseItem="0"/>
  </dataField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VBA.xlsm!t_Hist_Simul_Tran">
        <x15:activeTabTopLevelEntity name="[t_Hist_Simul_Tra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adjustColumnWidth="0" connectionId="1" xr16:uid="{C693B200-E6A8-4137-990B-86EC395F5C0B}" autoFormatId="16" applyNumberFormats="0" applyBorderFormats="0" applyFontFormats="0" applyPatternFormats="0" applyAlignmentFormats="0" applyWidthHeightFormats="0">
  <queryTableRefresh nextId="5">
    <queryTableFields count="2">
      <queryTableField id="1" name="Name" tableColumnId="1"/>
      <queryTableField id="4" name="Value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59F88-A259-4750-91B0-A57D342BB4D1}" name="t_Hist_Cotações" displayName="t_Hist_Cotações" ref="A1:D59" totalsRowShown="0" headerRowDxfId="32" dataDxfId="31">
  <tableColumns count="4">
    <tableColumn id="1" xr3:uid="{1C336E92-7896-48FC-B6D3-AF066A8598A9}" name="Data" dataDxfId="30"/>
    <tableColumn id="4" xr3:uid="{1BA49346-A589-4C02-9206-0BE52D153EA3}" name="Hora" dataDxfId="29"/>
    <tableColumn id="2" xr3:uid="{CF1AB3B2-2F27-4CBE-932A-D55097102F00}" name="Moeda" dataDxfId="28"/>
    <tableColumn id="3" xr3:uid="{3A455CEA-F997-48F8-983B-A01744EEDE39}" name="Cotação" dataDxfId="27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CA209-2134-446C-87B4-4658F5081E84}" name="t_USD_BTC_to_BRL" displayName="t_USD_BTC_to_BRL" ref="A1:B3" tableType="queryTable" totalsRowShown="0" headerRowDxfId="26" dataDxfId="25">
  <tableColumns count="2">
    <tableColumn id="1" xr3:uid="{BE0D2357-F251-4E58-8A62-4B6CA78F8629}" uniqueName="1" name="Name" queryTableFieldId="1" dataDxfId="2"/>
    <tableColumn id="4" xr3:uid="{7C5EA9B9-285B-4C1F-A80B-ACF0AFC519EF}" uniqueName="4" name="Value" queryTableFieldId="4" dataDxfId="24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AE2566-6E97-464E-B770-4583B2EFC1D4}" name="t_Last_USD_BTC_to_BRL" displayName="t_Last_USD_BTC_to_BRL" ref="D1:E3" totalsRowShown="0" headerRowDxfId="23" dataDxfId="22">
  <tableColumns count="2">
    <tableColumn id="1" xr3:uid="{A69E4E0F-D31A-4694-BC76-C4763DA17B89}" name="Name" dataDxfId="21"/>
    <tableColumn id="2" xr3:uid="{A3FBC8BC-DBF9-4160-B5B2-E31729D8E09E}" name="Last_Value" dataDxfId="20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8926D6-A179-47C1-A5D9-90E87587335B}" name="t_Taxa_Tran" displayName="t_Taxa_Tran" ref="L1:Q5" totalsRowShown="0" headerRowDxfId="19">
  <tableColumns count="6">
    <tableColumn id="5" xr3:uid="{DEA3D4EF-96DE-46F3-895B-E63844691AE3}" name="ID_Tran" dataDxfId="18"/>
    <tableColumn id="1" xr3:uid="{B862810F-8BB1-46BD-A08D-B6F932980B5C}" name="Tipo_Transação" dataDxfId="17"/>
    <tableColumn id="2" xr3:uid="{F92DBDD9-21B1-4EDA-831E-E88F62094338}" name="Nm_Moeda" dataDxfId="16"/>
    <tableColumn id="7" xr3:uid="{2FCBA20F-D1EC-49C8-800C-69D43CB8C89E}" name="Rng_Desconto" dataDxfId="15"/>
    <tableColumn id="3" xr3:uid="{9BBDF758-3362-4B0B-B61E-4F2C2FDD4ACF}" name="Tx_Adm_Padrão" dataDxfId="14" dataCellStyle="Porcentagem"/>
    <tableColumn id="4" xr3:uid="{C1F9B0D6-E73F-4F32-95E4-E8BF9C70FEBE}" name="Tx_Adm_Desconto" dataDxfId="13" dataCellStyle="Porcentagem"/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B98AF6-2FB4-418D-9C4A-91D24829C44C}" name="t_Tipo_Tran" displayName="t_Tipo_Tran" ref="I1:J3" totalsRowShown="0">
  <tableColumns count="2">
    <tableColumn id="1" xr3:uid="{7404939B-1873-481B-9B9C-81F3CF7A401F}" name="Tipo_Transação"/>
    <tableColumn id="2" xr3:uid="{03A8B521-5966-4E2C-A388-BDA5796B0016}" name="Nm_Moeda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7AC69B-92DD-416F-9106-2FC4573A71CD}" name="t_Hist_Simul_Tran" displayName="t_Hist_Simul_Tran" ref="B8:I23" totalsRowShown="0" headerRowDxfId="12" dataDxfId="11">
  <tableColumns count="8">
    <tableColumn id="1" xr3:uid="{60897973-E2B2-46B0-985A-05406DDA9FA1}" name="Data" dataDxfId="10"/>
    <tableColumn id="2" xr3:uid="{399828CC-90F0-4B40-B967-F305742192FD}" name="Tipo" dataDxfId="9"/>
    <tableColumn id="3" xr3:uid="{9D12ACE6-AAA6-4112-8871-E685AA02CCDB}" name="Moeda" dataDxfId="8"/>
    <tableColumn id="4" xr3:uid="{1F75E36D-60E0-4BF3-BD5C-82391D23D503}" name="Valor" dataDxfId="7"/>
    <tableColumn id="5" xr3:uid="{E8D90268-9D87-43D8-8BB0-BE4E2ABBD037}" name="Cotação" dataDxfId="6"/>
    <tableColumn id="6" xr3:uid="{716B45B0-DE79-4C2B-8270-A861FE27D1BA}" name="Taxa Administração" dataDxfId="5" dataCellStyle="Porcentagem"/>
    <tableColumn id="8" xr3:uid="{0031E76A-80A7-406A-B7A9-33BBD814525A}" name="Desconto" dataDxfId="4" dataCellStyle="Porcentagem">
      <calculatedColumnFormula array="1">IF(t_Hist_Simul_Tran[[#This Row],[Valor]]&gt;=_xlfn.XLOOKUP(1,(t_Taxa_Tran[Tipo_Transação]=t_Hist_Simul_Tran[[#This Row],[Tipo]])*(t_Taxa_Tran[Nm_Moeda]=t_Hist_Simul_Tran[[#This Row],[Moeda]]),t_Taxa_Tran[Rng_Desconto],"-",0,1),"Sim","Não")</calculatedColumnFormula>
    </tableColumn>
    <tableColumn id="7" xr3:uid="{6ED1BA83-4F1D-44D8-8AC5-FD7E56BF1059}" name="Valor Total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83B2B-7C30-475B-9C3E-ABE924756E4C}">
  <sheetPr codeName="Planilha3"/>
  <dimension ref="A1:N59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" sqref="F2"/>
    </sheetView>
  </sheetViews>
  <sheetFormatPr defaultRowHeight="15" x14ac:dyDescent="0.25"/>
  <cols>
    <col min="1" max="4" width="22" customWidth="1"/>
  </cols>
  <sheetData>
    <row r="1" spans="1:12" x14ac:dyDescent="0.25">
      <c r="A1" s="1" t="s">
        <v>2</v>
      </c>
      <c r="B1" s="1" t="s">
        <v>10</v>
      </c>
      <c r="C1" s="1" t="s">
        <v>8</v>
      </c>
      <c r="D1" s="1" t="s">
        <v>9</v>
      </c>
    </row>
    <row r="2" spans="1:12" x14ac:dyDescent="0.25">
      <c r="A2" s="4">
        <v>45717</v>
      </c>
      <c r="B2" s="5">
        <v>0.70187500000000003</v>
      </c>
      <c r="C2" s="1" t="s">
        <v>6</v>
      </c>
      <c r="D2" s="1">
        <v>501916</v>
      </c>
      <c r="L2" s="18"/>
    </row>
    <row r="3" spans="1:12" x14ac:dyDescent="0.25">
      <c r="A3" s="4">
        <v>45717</v>
      </c>
      <c r="B3" s="5">
        <v>0.70187500000000003</v>
      </c>
      <c r="C3" s="1" t="s">
        <v>7</v>
      </c>
      <c r="D3" s="1">
        <v>5.89</v>
      </c>
    </row>
    <row r="4" spans="1:12" x14ac:dyDescent="0.25">
      <c r="A4" s="4">
        <v>45717</v>
      </c>
      <c r="B4" s="5">
        <v>0.70190972222222225</v>
      </c>
      <c r="C4" s="1" t="s">
        <v>6</v>
      </c>
      <c r="D4" s="1">
        <v>501916</v>
      </c>
    </row>
    <row r="5" spans="1:12" x14ac:dyDescent="0.25">
      <c r="A5" s="4">
        <v>45717</v>
      </c>
      <c r="B5" s="5">
        <v>0.70190972222222225</v>
      </c>
      <c r="C5" s="1" t="s">
        <v>7</v>
      </c>
      <c r="D5" s="1">
        <v>5.89</v>
      </c>
    </row>
    <row r="6" spans="1:12" x14ac:dyDescent="0.25">
      <c r="A6" s="4">
        <v>45717</v>
      </c>
      <c r="B6" s="5">
        <v>0.70274305555555561</v>
      </c>
      <c r="C6" s="1" t="s">
        <v>6</v>
      </c>
      <c r="D6" s="1">
        <v>501916</v>
      </c>
    </row>
    <row r="7" spans="1:12" x14ac:dyDescent="0.25">
      <c r="A7" s="4">
        <v>45717</v>
      </c>
      <c r="B7" s="5">
        <v>0.70274305555555561</v>
      </c>
      <c r="C7" s="1" t="s">
        <v>7</v>
      </c>
      <c r="D7" s="1">
        <v>5.89</v>
      </c>
    </row>
    <row r="8" spans="1:12" x14ac:dyDescent="0.25">
      <c r="A8" s="4">
        <v>45717</v>
      </c>
      <c r="B8" s="5">
        <v>0.70307870370370373</v>
      </c>
      <c r="C8" s="1" t="s">
        <v>6</v>
      </c>
      <c r="D8" s="1">
        <v>502519</v>
      </c>
    </row>
    <row r="9" spans="1:12" x14ac:dyDescent="0.25">
      <c r="A9" s="4">
        <v>45717</v>
      </c>
      <c r="B9" s="5">
        <v>0.70307870370370373</v>
      </c>
      <c r="C9" s="1" t="s">
        <v>7</v>
      </c>
      <c r="D9" s="1">
        <v>5.88</v>
      </c>
    </row>
    <row r="10" spans="1:12" x14ac:dyDescent="0.25">
      <c r="A10" s="4">
        <v>45717</v>
      </c>
      <c r="B10" s="5">
        <v>0.70381944444444444</v>
      </c>
      <c r="C10" s="1" t="s">
        <v>6</v>
      </c>
      <c r="D10" s="1">
        <v>502519</v>
      </c>
    </row>
    <row r="11" spans="1:12" x14ac:dyDescent="0.25">
      <c r="A11" s="4">
        <v>45717</v>
      </c>
      <c r="B11" s="5">
        <v>0.70381944444444444</v>
      </c>
      <c r="C11" s="1" t="s">
        <v>7</v>
      </c>
      <c r="D11" s="1">
        <v>5.88</v>
      </c>
    </row>
    <row r="12" spans="1:12" x14ac:dyDescent="0.25">
      <c r="A12" s="4">
        <v>45717</v>
      </c>
      <c r="B12" s="5">
        <v>0.7098726851851852</v>
      </c>
      <c r="C12" s="1" t="s">
        <v>6</v>
      </c>
      <c r="D12" s="1">
        <v>502618</v>
      </c>
    </row>
    <row r="13" spans="1:12" x14ac:dyDescent="0.25">
      <c r="A13" s="4">
        <v>45717</v>
      </c>
      <c r="B13" s="5">
        <v>0.7098726851851852</v>
      </c>
      <c r="C13" s="1" t="s">
        <v>7</v>
      </c>
      <c r="D13" s="1">
        <v>5.89</v>
      </c>
    </row>
    <row r="14" spans="1:12" x14ac:dyDescent="0.25">
      <c r="A14" s="4">
        <v>45717</v>
      </c>
      <c r="B14" s="5">
        <v>0.71947916666666667</v>
      </c>
      <c r="C14" s="1" t="s">
        <v>6</v>
      </c>
      <c r="D14" s="1">
        <v>502256</v>
      </c>
    </row>
    <row r="15" spans="1:12" x14ac:dyDescent="0.25">
      <c r="A15" s="4">
        <v>45717</v>
      </c>
      <c r="B15" s="5">
        <v>0.71947916666666667</v>
      </c>
      <c r="C15" s="1" t="s">
        <v>7</v>
      </c>
      <c r="D15" s="1">
        <v>5.88</v>
      </c>
    </row>
    <row r="16" spans="1:12" x14ac:dyDescent="0.25">
      <c r="A16" s="4">
        <v>45717</v>
      </c>
      <c r="B16" s="5">
        <v>0.91386574074074078</v>
      </c>
      <c r="C16" s="1" t="s">
        <v>6</v>
      </c>
      <c r="D16" s="1">
        <v>506607</v>
      </c>
    </row>
    <row r="17" spans="1:7" x14ac:dyDescent="0.25">
      <c r="A17" s="4">
        <v>45717</v>
      </c>
      <c r="B17" s="5">
        <v>0.91386574074074078</v>
      </c>
      <c r="C17" s="1" t="s">
        <v>7</v>
      </c>
      <c r="D17" s="1">
        <v>5.88</v>
      </c>
    </row>
    <row r="18" spans="1:7" x14ac:dyDescent="0.25">
      <c r="A18" s="4">
        <v>45717</v>
      </c>
      <c r="B18" s="5">
        <v>0.92136574074074074</v>
      </c>
      <c r="C18" s="1" t="s">
        <v>6</v>
      </c>
      <c r="D18" s="1">
        <v>506969</v>
      </c>
      <c r="G18" s="6"/>
    </row>
    <row r="19" spans="1:7" x14ac:dyDescent="0.25">
      <c r="A19" s="4">
        <v>45717</v>
      </c>
      <c r="B19" s="5">
        <v>0.92136574074074074</v>
      </c>
      <c r="C19" s="1" t="s">
        <v>7</v>
      </c>
      <c r="D19" s="1">
        <v>5.89</v>
      </c>
    </row>
    <row r="20" spans="1:7" x14ac:dyDescent="0.25">
      <c r="A20" s="4">
        <v>45718</v>
      </c>
      <c r="B20" s="5">
        <v>0.49670138888888887</v>
      </c>
      <c r="C20" s="1" t="s">
        <v>6</v>
      </c>
      <c r="D20" s="1">
        <v>502001</v>
      </c>
    </row>
    <row r="21" spans="1:7" x14ac:dyDescent="0.25">
      <c r="A21" s="4">
        <v>45718</v>
      </c>
      <c r="B21" s="5">
        <v>0.49670138888888887</v>
      </c>
      <c r="C21" s="1" t="s">
        <v>7</v>
      </c>
      <c r="D21" s="1">
        <v>5.87</v>
      </c>
    </row>
    <row r="22" spans="1:7" x14ac:dyDescent="0.25">
      <c r="A22" s="4">
        <v>45718</v>
      </c>
      <c r="B22" s="5">
        <v>0.52747685185185189</v>
      </c>
      <c r="C22" s="1" t="s">
        <v>6</v>
      </c>
      <c r="D22" s="1">
        <v>520474</v>
      </c>
    </row>
    <row r="23" spans="1:7" x14ac:dyDescent="0.25">
      <c r="A23" s="4">
        <v>45718</v>
      </c>
      <c r="B23" s="5">
        <v>0.52747685185185189</v>
      </c>
      <c r="C23" s="1" t="s">
        <v>7</v>
      </c>
      <c r="D23" s="1">
        <v>5.89</v>
      </c>
    </row>
    <row r="24" spans="1:7" x14ac:dyDescent="0.25">
      <c r="A24" s="4">
        <v>45718</v>
      </c>
      <c r="B24" s="5">
        <v>0.52828703703703705</v>
      </c>
      <c r="C24" s="1" t="s">
        <v>6</v>
      </c>
      <c r="D24" s="1">
        <v>520720</v>
      </c>
    </row>
    <row r="25" spans="1:7" x14ac:dyDescent="0.25">
      <c r="A25" s="4">
        <v>45718</v>
      </c>
      <c r="B25" s="5">
        <v>0.52828703703703705</v>
      </c>
      <c r="C25" s="1" t="s">
        <v>7</v>
      </c>
      <c r="D25" s="1">
        <v>5.9</v>
      </c>
    </row>
    <row r="26" spans="1:7" x14ac:dyDescent="0.25">
      <c r="A26" s="4">
        <v>45718</v>
      </c>
      <c r="B26" s="5">
        <v>0.54903935185185182</v>
      </c>
      <c r="C26" s="1" t="s">
        <v>6</v>
      </c>
      <c r="D26" s="1">
        <v>516553</v>
      </c>
    </row>
    <row r="27" spans="1:7" x14ac:dyDescent="0.25">
      <c r="A27" s="4">
        <v>45718</v>
      </c>
      <c r="B27" s="5">
        <v>0.54903935185185182</v>
      </c>
      <c r="C27" s="1" t="s">
        <v>7</v>
      </c>
      <c r="D27" s="1">
        <v>5.88</v>
      </c>
    </row>
    <row r="28" spans="1:7" x14ac:dyDescent="0.25">
      <c r="A28" s="4">
        <v>45718</v>
      </c>
      <c r="B28" s="5">
        <v>0.57999999999999996</v>
      </c>
      <c r="C28" s="1" t="s">
        <v>6</v>
      </c>
      <c r="D28" s="1">
        <v>540939</v>
      </c>
    </row>
    <row r="29" spans="1:7" x14ac:dyDescent="0.25">
      <c r="A29" s="4">
        <v>45718</v>
      </c>
      <c r="B29" s="5">
        <v>0.57999999999999996</v>
      </c>
      <c r="C29" s="1" t="s">
        <v>7</v>
      </c>
      <c r="D29" s="1">
        <v>6</v>
      </c>
    </row>
    <row r="30" spans="1:7" x14ac:dyDescent="0.25">
      <c r="A30" s="4">
        <v>45718</v>
      </c>
      <c r="B30" s="5">
        <v>0.58627314814814813</v>
      </c>
      <c r="C30" s="1" t="s">
        <v>6</v>
      </c>
      <c r="D30" s="1">
        <v>535810</v>
      </c>
    </row>
    <row r="31" spans="1:7" x14ac:dyDescent="0.25">
      <c r="A31" s="4">
        <v>45718</v>
      </c>
      <c r="B31" s="5">
        <v>0.58627314814814813</v>
      </c>
      <c r="C31" s="1" t="s">
        <v>7</v>
      </c>
      <c r="D31" s="1">
        <v>5.9</v>
      </c>
    </row>
    <row r="32" spans="1:7" x14ac:dyDescent="0.25">
      <c r="A32" s="4">
        <v>45718</v>
      </c>
      <c r="B32" s="5">
        <v>0.83105324074074072</v>
      </c>
      <c r="C32" s="1" t="s">
        <v>6</v>
      </c>
      <c r="D32" s="1">
        <v>555604</v>
      </c>
    </row>
    <row r="33" spans="1:12" x14ac:dyDescent="0.25">
      <c r="A33" s="4">
        <v>45718</v>
      </c>
      <c r="B33" s="5">
        <v>0.83105324074074072</v>
      </c>
      <c r="C33" s="1" t="s">
        <v>7</v>
      </c>
      <c r="D33" s="1">
        <v>5.91</v>
      </c>
    </row>
    <row r="34" spans="1:12" x14ac:dyDescent="0.25">
      <c r="A34" s="4">
        <v>45718</v>
      </c>
      <c r="B34" s="5">
        <v>0.84219907407407413</v>
      </c>
      <c r="C34" s="1" t="s">
        <v>6</v>
      </c>
      <c r="D34" s="1">
        <v>558236</v>
      </c>
    </row>
    <row r="35" spans="1:12" x14ac:dyDescent="0.25">
      <c r="A35" s="4">
        <v>45718</v>
      </c>
      <c r="B35" s="5">
        <v>0.84219907407407413</v>
      </c>
      <c r="C35" s="1" t="s">
        <v>7</v>
      </c>
      <c r="D35" s="1">
        <v>5.9</v>
      </c>
    </row>
    <row r="36" spans="1:12" x14ac:dyDescent="0.25">
      <c r="A36" s="4">
        <v>45719</v>
      </c>
      <c r="B36" s="5">
        <v>0.47806712962962961</v>
      </c>
      <c r="C36" s="1" t="s">
        <v>6</v>
      </c>
      <c r="D36" s="1">
        <v>553533</v>
      </c>
    </row>
    <row r="37" spans="1:12" x14ac:dyDescent="0.25">
      <c r="A37" s="4">
        <v>45719</v>
      </c>
      <c r="B37" s="5">
        <v>0.47806712962962961</v>
      </c>
      <c r="C37" s="1" t="s">
        <v>7</v>
      </c>
      <c r="D37" s="1">
        <v>5.96</v>
      </c>
    </row>
    <row r="38" spans="1:12" x14ac:dyDescent="0.25">
      <c r="A38" s="4">
        <v>45719</v>
      </c>
      <c r="B38" s="5">
        <v>0.52377314814814813</v>
      </c>
      <c r="C38" s="1" t="s">
        <v>6</v>
      </c>
      <c r="D38" s="1">
        <v>539890</v>
      </c>
    </row>
    <row r="39" spans="1:12" x14ac:dyDescent="0.25">
      <c r="A39" s="4">
        <v>45719</v>
      </c>
      <c r="B39" s="5">
        <v>0.52377314814814813</v>
      </c>
      <c r="C39" s="1" t="s">
        <v>7</v>
      </c>
      <c r="D39" s="1">
        <v>5.94</v>
      </c>
    </row>
    <row r="40" spans="1:12" x14ac:dyDescent="0.25">
      <c r="A40" s="4">
        <v>45719</v>
      </c>
      <c r="B40" s="5">
        <v>0.57162037037037039</v>
      </c>
      <c r="C40" s="1" t="s">
        <v>6</v>
      </c>
      <c r="D40" s="1">
        <v>536353</v>
      </c>
    </row>
    <row r="41" spans="1:12" x14ac:dyDescent="0.25">
      <c r="A41" s="4">
        <v>45719</v>
      </c>
      <c r="B41" s="5">
        <v>0.57162037037037039</v>
      </c>
      <c r="C41" s="1" t="s">
        <v>7</v>
      </c>
      <c r="D41" s="1">
        <v>5.96</v>
      </c>
    </row>
    <row r="42" spans="1:12" x14ac:dyDescent="0.25">
      <c r="A42" s="4">
        <v>45720</v>
      </c>
      <c r="B42" s="5">
        <v>0.61495370370370372</v>
      </c>
      <c r="C42" s="1" t="s">
        <v>6</v>
      </c>
      <c r="D42" s="1">
        <v>525884</v>
      </c>
    </row>
    <row r="43" spans="1:12" x14ac:dyDescent="0.25">
      <c r="A43" s="4">
        <v>45720</v>
      </c>
      <c r="B43" s="5">
        <v>0.61495370370370372</v>
      </c>
      <c r="C43" s="1" t="s">
        <v>7</v>
      </c>
      <c r="D43" s="1">
        <v>6.16</v>
      </c>
    </row>
    <row r="44" spans="1:12" x14ac:dyDescent="0.25">
      <c r="A44" s="4">
        <v>45721</v>
      </c>
      <c r="B44" s="5">
        <v>0.37206018518518519</v>
      </c>
      <c r="C44" s="1" t="s">
        <v>6</v>
      </c>
      <c r="D44" s="1">
        <v>528025</v>
      </c>
    </row>
    <row r="45" spans="1:12" x14ac:dyDescent="0.25">
      <c r="A45" s="4">
        <v>45721</v>
      </c>
      <c r="B45" s="5">
        <v>0.37206018518518519</v>
      </c>
      <c r="C45" s="1" t="s">
        <v>7</v>
      </c>
      <c r="D45" s="1">
        <v>5.88</v>
      </c>
    </row>
    <row r="46" spans="1:12" x14ac:dyDescent="0.25">
      <c r="A46" s="4">
        <v>45721</v>
      </c>
      <c r="B46" s="5">
        <v>0.70048611111111114</v>
      </c>
      <c r="C46" s="1" t="s">
        <v>6</v>
      </c>
      <c r="D46" s="1">
        <v>517061</v>
      </c>
    </row>
    <row r="47" spans="1:12" x14ac:dyDescent="0.25">
      <c r="A47" s="4">
        <v>45721</v>
      </c>
      <c r="B47" s="5">
        <v>0.70048611111111114</v>
      </c>
      <c r="C47" s="1" t="s">
        <v>7</v>
      </c>
      <c r="D47" s="1">
        <v>5.76</v>
      </c>
    </row>
    <row r="48" spans="1:12" x14ac:dyDescent="0.25">
      <c r="A48" s="4">
        <v>45721</v>
      </c>
      <c r="B48" s="5">
        <v>0.73207175925925927</v>
      </c>
      <c r="C48" s="1" t="s">
        <v>6</v>
      </c>
      <c r="D48" s="1">
        <v>519611</v>
      </c>
      <c r="I48" s="4"/>
      <c r="J48" s="5"/>
      <c r="K48" s="1"/>
      <c r="L48" s="1"/>
    </row>
    <row r="49" spans="1:14" x14ac:dyDescent="0.25">
      <c r="A49" s="4">
        <v>45721</v>
      </c>
      <c r="B49" s="5">
        <v>0.73207175925925927</v>
      </c>
      <c r="C49" s="1" t="s">
        <v>7</v>
      </c>
      <c r="D49" s="1">
        <v>5.77</v>
      </c>
      <c r="I49" s="4"/>
      <c r="J49" s="5"/>
      <c r="K49" s="1"/>
      <c r="L49" s="1"/>
    </row>
    <row r="50" spans="1:14" x14ac:dyDescent="0.25">
      <c r="A50" s="4">
        <v>45721</v>
      </c>
      <c r="B50" s="5">
        <v>0.79984953703703698</v>
      </c>
      <c r="C50" s="1" t="s">
        <v>6</v>
      </c>
      <c r="D50" s="1">
        <v>518180</v>
      </c>
      <c r="I50" s="4"/>
      <c r="J50" s="5"/>
      <c r="K50" s="1"/>
      <c r="L50" s="1"/>
      <c r="N50" s="16"/>
    </row>
    <row r="51" spans="1:14" x14ac:dyDescent="0.25">
      <c r="A51" s="4">
        <v>45721</v>
      </c>
      <c r="B51" s="5">
        <v>0.79984953703703698</v>
      </c>
      <c r="C51" s="1" t="s">
        <v>7</v>
      </c>
      <c r="D51" s="1">
        <v>5.75</v>
      </c>
      <c r="I51" s="4"/>
      <c r="J51" s="5"/>
      <c r="K51" s="1"/>
      <c r="L51" s="1"/>
      <c r="N51" s="16"/>
    </row>
    <row r="52" spans="1:14" x14ac:dyDescent="0.25">
      <c r="A52" s="4">
        <v>45722</v>
      </c>
      <c r="B52" s="5">
        <v>0.48939814814814814</v>
      </c>
      <c r="C52" s="1" t="s">
        <v>6</v>
      </c>
      <c r="D52" s="1">
        <v>513689</v>
      </c>
    </row>
    <row r="53" spans="1:14" x14ac:dyDescent="0.25">
      <c r="A53" s="4">
        <v>45722</v>
      </c>
      <c r="B53" s="5">
        <v>0.48939814814814814</v>
      </c>
      <c r="C53" s="1" t="s">
        <v>7</v>
      </c>
      <c r="D53" s="1">
        <v>5.74</v>
      </c>
    </row>
    <row r="54" spans="1:14" x14ac:dyDescent="0.25">
      <c r="A54" s="4">
        <v>45722</v>
      </c>
      <c r="B54" s="5">
        <v>0.50457175925925923</v>
      </c>
      <c r="C54" s="1" t="s">
        <v>6</v>
      </c>
      <c r="D54" s="1">
        <v>519994</v>
      </c>
    </row>
    <row r="55" spans="1:14" x14ac:dyDescent="0.25">
      <c r="A55" s="4">
        <v>45722</v>
      </c>
      <c r="B55" s="5">
        <v>0.50457175925925923</v>
      </c>
      <c r="C55" s="1" t="s">
        <v>7</v>
      </c>
      <c r="D55" s="1">
        <v>5.75</v>
      </c>
    </row>
    <row r="56" spans="1:14" x14ac:dyDescent="0.25">
      <c r="A56" s="4">
        <v>45722</v>
      </c>
      <c r="B56" s="5">
        <v>0.52885416666666663</v>
      </c>
      <c r="C56" s="1" t="s">
        <v>6</v>
      </c>
      <c r="D56" s="1">
        <v>525310</v>
      </c>
    </row>
    <row r="57" spans="1:14" x14ac:dyDescent="0.25">
      <c r="A57" s="4">
        <v>45722</v>
      </c>
      <c r="B57" s="5">
        <v>0.52885416666666663</v>
      </c>
      <c r="C57" s="1" t="s">
        <v>7</v>
      </c>
      <c r="D57" s="1">
        <v>5.74</v>
      </c>
    </row>
    <row r="58" spans="1:14" x14ac:dyDescent="0.25">
      <c r="A58" s="4">
        <v>45722</v>
      </c>
      <c r="B58" s="5">
        <v>0.69771990740740741</v>
      </c>
      <c r="C58" s="1" t="s">
        <v>6</v>
      </c>
      <c r="D58" s="1">
        <v>510906</v>
      </c>
    </row>
    <row r="59" spans="1:14" x14ac:dyDescent="0.25">
      <c r="A59" s="4">
        <v>45722</v>
      </c>
      <c r="B59" s="5">
        <v>0.69771990740740741</v>
      </c>
      <c r="C59" s="1" t="s">
        <v>7</v>
      </c>
      <c r="D59" s="1">
        <v>5.77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37A9-8ED9-4421-AF5E-43C2FAD3C6CC}">
  <sheetPr codeName="Aux_Cotações"/>
  <dimension ref="A1:Q18"/>
  <sheetViews>
    <sheetView showGridLines="0" showRuler="0" zoomScaleNormal="100" workbookViewId="0">
      <selection activeCell="D2" sqref="D2:E3"/>
    </sheetView>
  </sheetViews>
  <sheetFormatPr defaultRowHeight="15" x14ac:dyDescent="0.25"/>
  <cols>
    <col min="1" max="2" width="15.5703125" customWidth="1"/>
    <col min="4" max="5" width="15.5703125" customWidth="1"/>
    <col min="7" max="7" width="25.5703125" bestFit="1" customWidth="1"/>
    <col min="9" max="10" width="15.42578125" customWidth="1"/>
    <col min="12" max="17" width="20" customWidth="1"/>
  </cols>
  <sheetData>
    <row r="1" spans="1:17" x14ac:dyDescent="0.25">
      <c r="A1" s="1" t="s">
        <v>0</v>
      </c>
      <c r="B1" s="1" t="s">
        <v>1</v>
      </c>
      <c r="C1" s="1"/>
      <c r="D1" s="1" t="s">
        <v>0</v>
      </c>
      <c r="E1" s="1" t="s">
        <v>12</v>
      </c>
      <c r="G1" t="s">
        <v>11</v>
      </c>
      <c r="I1" t="s">
        <v>13</v>
      </c>
      <c r="J1" t="s">
        <v>14</v>
      </c>
      <c r="L1" s="1" t="s">
        <v>21</v>
      </c>
      <c r="M1" s="1" t="s">
        <v>13</v>
      </c>
      <c r="N1" s="1" t="s">
        <v>14</v>
      </c>
      <c r="O1" s="1" t="s">
        <v>22</v>
      </c>
      <c r="P1" s="1" t="s">
        <v>19</v>
      </c>
      <c r="Q1" s="1" t="s">
        <v>20</v>
      </c>
    </row>
    <row r="2" spans="1:17" x14ac:dyDescent="0.25">
      <c r="A2" s="2" t="s">
        <v>6</v>
      </c>
      <c r="B2" s="8">
        <v>510906</v>
      </c>
      <c r="C2" s="3"/>
      <c r="D2" s="2" t="s">
        <v>6</v>
      </c>
      <c r="E2" s="3">
        <v>525310</v>
      </c>
      <c r="G2" t="str">
        <f>UPPER(t_USD_BTC_to_BRL[[#This Row],[Name]])&amp;" : "&amp;TEXT(t_USD_BTC_to_BRL[[#This Row],[Value]],"[$R$-pt-BR] #,##0.00")&amp;" "&amp;IF(t_USD_BTC_to_BRL[[#This Row],[Value]]&gt;t_Last_USD_BTC_to_BRL[[#This Row],[Last_Value]],"🔼",IF(t_USD_BTC_to_BRL[[#This Row],[Value]]&lt;t_Last_USD_BTC_to_BRL[[#This Row],[Last_Value]],"🔽","➖"))</f>
        <v>BITCOIN : R$ 510,906.00 🔽</v>
      </c>
      <c r="I2" t="s">
        <v>15</v>
      </c>
      <c r="J2" t="s">
        <v>17</v>
      </c>
      <c r="L2" s="1">
        <v>1</v>
      </c>
      <c r="M2" s="1" t="s">
        <v>15</v>
      </c>
      <c r="N2" s="1" t="s">
        <v>17</v>
      </c>
      <c r="O2" s="1">
        <v>0.3</v>
      </c>
      <c r="P2" s="9">
        <v>2E-3</v>
      </c>
      <c r="Q2" s="9">
        <v>1.4E-3</v>
      </c>
    </row>
    <row r="3" spans="1:17" x14ac:dyDescent="0.25">
      <c r="A3" s="2" t="s">
        <v>7</v>
      </c>
      <c r="B3" s="3">
        <v>5.77</v>
      </c>
      <c r="C3" s="3"/>
      <c r="D3" s="2" t="s">
        <v>7</v>
      </c>
      <c r="E3" s="3">
        <v>5.74</v>
      </c>
      <c r="G3" t="str">
        <f>UPPER(t_USD_BTC_to_BRL[[#This Row],[Name]])&amp;" : "&amp;TEXT(t_USD_BTC_to_BRL[[#This Row],[Value]],"[$R$-pt-BR] #,##0.00")&amp;" "&amp;IF(t_USD_BTC_to_BRL[[#This Row],[Value]]&gt;t_Last_USD_BTC_to_BRL[[#This Row],[Last_Value]],"🔼",IF(t_USD_BTC_to_BRL[[#This Row],[Value]]&lt;t_Last_USD_BTC_to_BRL[[#This Row],[Last_Value]],"🔽","➖"))</f>
        <v>USD : R$ 5.77 🔼</v>
      </c>
      <c r="I3" t="s">
        <v>16</v>
      </c>
      <c r="J3" t="s">
        <v>18</v>
      </c>
      <c r="L3" s="1">
        <v>2</v>
      </c>
      <c r="M3" s="1" t="s">
        <v>16</v>
      </c>
      <c r="N3" s="1" t="s">
        <v>17</v>
      </c>
      <c r="O3" s="1">
        <v>0.4</v>
      </c>
      <c r="P3" s="9">
        <v>5.0000000000000001E-3</v>
      </c>
      <c r="Q3" s="9">
        <v>3.4999999999999996E-3</v>
      </c>
    </row>
    <row r="4" spans="1:17" x14ac:dyDescent="0.25">
      <c r="L4" s="1">
        <v>3</v>
      </c>
      <c r="M4" s="1" t="s">
        <v>15</v>
      </c>
      <c r="N4" s="1" t="s">
        <v>18</v>
      </c>
      <c r="O4" s="1">
        <v>2000</v>
      </c>
      <c r="P4" s="9">
        <v>1E-3</v>
      </c>
      <c r="Q4" s="9">
        <v>6.9999999999999999E-4</v>
      </c>
    </row>
    <row r="5" spans="1:17" x14ac:dyDescent="0.25">
      <c r="G5" s="7" t="str" cm="1">
        <f t="array" ref="G5">"Última atualização: "&amp;TEXT(INDEX(t_Hist_Cotações[Data],COUNTA(t_Hist_Cotações[Data]),1),"dd/mm")&amp;" "&amp;TEXT(INDEX(t_Hist_Cotações[Hora],COUNTA(t_Hist_Cotações[Hora]),1),"hh:mm")</f>
        <v>Última atualização: 06/03 16:44</v>
      </c>
      <c r="L5" s="1">
        <v>4</v>
      </c>
      <c r="M5" s="1" t="s">
        <v>16</v>
      </c>
      <c r="N5" s="1" t="s">
        <v>18</v>
      </c>
      <c r="O5" s="1">
        <v>3000</v>
      </c>
      <c r="P5" s="9">
        <v>3.0000000000000001E-3</v>
      </c>
      <c r="Q5" s="9">
        <v>2.0999999999999999E-3</v>
      </c>
    </row>
    <row r="15" spans="1:17" x14ac:dyDescent="0.25">
      <c r="N15" s="1"/>
      <c r="O15" s="1"/>
    </row>
    <row r="16" spans="1:17" x14ac:dyDescent="0.25">
      <c r="N16" s="3"/>
      <c r="O16" s="3"/>
    </row>
    <row r="17" spans="14:16" x14ac:dyDescent="0.25">
      <c r="N17" s="1"/>
      <c r="O17" s="3"/>
      <c r="P17" s="10"/>
    </row>
    <row r="18" spans="14:16" x14ac:dyDescent="0.25">
      <c r="N18" s="1"/>
      <c r="O18" s="3"/>
    </row>
  </sheetData>
  <pageMargins left="0" right="0" top="0" bottom="0" header="0" footer="0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00E3-E36F-47C5-A2D1-7F7AD2C391B0}">
  <sheetPr codeName="Planilha2"/>
  <dimension ref="B5:M13"/>
  <sheetViews>
    <sheetView showGridLines="0" showRowColHeaders="0" workbookViewId="0">
      <selection activeCell="K17" sqref="K17"/>
    </sheetView>
  </sheetViews>
  <sheetFormatPr defaultRowHeight="15" x14ac:dyDescent="0.25"/>
  <cols>
    <col min="2" max="3" width="20" customWidth="1"/>
    <col min="5" max="6" width="20" customWidth="1"/>
    <col min="8" max="9" width="20" customWidth="1"/>
    <col min="11" max="13" width="20" customWidth="1"/>
  </cols>
  <sheetData>
    <row r="5" spans="2:13" x14ac:dyDescent="0.25">
      <c r="B5" s="13" t="s">
        <v>25</v>
      </c>
      <c r="C5" t="s">
        <v>27</v>
      </c>
      <c r="E5" s="13" t="s">
        <v>25</v>
      </c>
      <c r="F5" t="s">
        <v>27</v>
      </c>
      <c r="H5" s="13" t="s">
        <v>25</v>
      </c>
      <c r="I5" t="s">
        <v>27</v>
      </c>
      <c r="K5" s="13" t="s">
        <v>27</v>
      </c>
      <c r="L5" s="13" t="s">
        <v>30</v>
      </c>
    </row>
    <row r="6" spans="2:13" x14ac:dyDescent="0.25">
      <c r="B6" s="14" t="s">
        <v>15</v>
      </c>
      <c r="C6" s="17">
        <v>12</v>
      </c>
      <c r="E6" s="14" t="s">
        <v>17</v>
      </c>
      <c r="F6" s="17">
        <v>7</v>
      </c>
      <c r="H6" s="14" t="s">
        <v>28</v>
      </c>
      <c r="I6" s="17">
        <v>9</v>
      </c>
      <c r="K6" s="13" t="s">
        <v>25</v>
      </c>
      <c r="L6" t="s">
        <v>31</v>
      </c>
      <c r="M6" t="s">
        <v>32</v>
      </c>
    </row>
    <row r="7" spans="2:13" x14ac:dyDescent="0.25">
      <c r="B7" s="14" t="s">
        <v>16</v>
      </c>
      <c r="C7" s="17">
        <v>3</v>
      </c>
      <c r="E7" s="14" t="s">
        <v>18</v>
      </c>
      <c r="F7" s="17">
        <v>8</v>
      </c>
      <c r="H7" s="14" t="s">
        <v>29</v>
      </c>
      <c r="I7" s="17">
        <v>6</v>
      </c>
      <c r="K7" s="14" t="s">
        <v>15</v>
      </c>
      <c r="L7" s="17"/>
      <c r="M7" s="17"/>
    </row>
    <row r="8" spans="2:13" x14ac:dyDescent="0.25">
      <c r="B8" s="14" t="s">
        <v>26</v>
      </c>
      <c r="C8" s="17">
        <v>15</v>
      </c>
      <c r="E8" s="14" t="s">
        <v>26</v>
      </c>
      <c r="F8" s="17">
        <v>15</v>
      </c>
      <c r="H8" s="14" t="s">
        <v>26</v>
      </c>
      <c r="I8" s="17">
        <v>15</v>
      </c>
      <c r="K8" s="15" t="s">
        <v>17</v>
      </c>
      <c r="L8" s="17">
        <v>2</v>
      </c>
      <c r="M8" s="17">
        <v>3</v>
      </c>
    </row>
    <row r="9" spans="2:13" x14ac:dyDescent="0.25">
      <c r="K9" s="15" t="s">
        <v>18</v>
      </c>
      <c r="L9" s="17">
        <v>5</v>
      </c>
      <c r="M9" s="17">
        <v>2</v>
      </c>
    </row>
    <row r="10" spans="2:13" x14ac:dyDescent="0.25">
      <c r="K10" s="14" t="s">
        <v>16</v>
      </c>
      <c r="L10" s="17"/>
      <c r="M10" s="17"/>
    </row>
    <row r="11" spans="2:13" x14ac:dyDescent="0.25">
      <c r="K11" s="15" t="s">
        <v>17</v>
      </c>
      <c r="L11" s="17">
        <v>2</v>
      </c>
      <c r="M11" s="17"/>
    </row>
    <row r="12" spans="2:13" x14ac:dyDescent="0.25">
      <c r="K12" s="15" t="s">
        <v>18</v>
      </c>
      <c r="L12" s="17"/>
      <c r="M12" s="17">
        <v>1</v>
      </c>
    </row>
    <row r="13" spans="2:13" x14ac:dyDescent="0.25">
      <c r="K13" s="14" t="s">
        <v>26</v>
      </c>
      <c r="L13" s="17">
        <v>9</v>
      </c>
      <c r="M13" s="17">
        <v>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4FC9-396E-46E7-92A9-8636900C051B}">
  <sheetPr codeName="Planilha1"/>
  <dimension ref="A1:AS23"/>
  <sheetViews>
    <sheetView showGridLines="0" showRowColHeaders="0" tabSelected="1" workbookViewId="0">
      <selection activeCell="W29" sqref="W29"/>
    </sheetView>
  </sheetViews>
  <sheetFormatPr defaultRowHeight="15" x14ac:dyDescent="0.25"/>
  <cols>
    <col min="1" max="1" width="2.140625" customWidth="1"/>
    <col min="2" max="4" width="14" customWidth="1"/>
    <col min="5" max="6" width="15.28515625" customWidth="1"/>
    <col min="7" max="7" width="18.5703125" bestFit="1" customWidth="1"/>
    <col min="8" max="8" width="14" customWidth="1"/>
    <col min="9" max="9" width="15.28515625" customWidth="1"/>
  </cols>
  <sheetData>
    <row r="1" spans="1:45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</row>
    <row r="2" spans="1:4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</row>
    <row r="3" spans="1:4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</row>
    <row r="4" spans="1:45" x14ac:dyDescent="0.25">
      <c r="A4" s="20"/>
      <c r="B4" s="21"/>
      <c r="C4" s="19"/>
      <c r="D4" s="19"/>
      <c r="E4" s="19"/>
      <c r="F4" s="19"/>
      <c r="G4" s="22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</row>
    <row r="5" spans="1:45" x14ac:dyDescent="0.25">
      <c r="A5" s="19"/>
      <c r="B5" s="19"/>
      <c r="C5" s="19"/>
      <c r="D5" s="19"/>
      <c r="E5" s="19"/>
      <c r="F5" s="19"/>
      <c r="G5" s="22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</row>
    <row r="6" spans="1:45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</row>
    <row r="8" spans="1:45" x14ac:dyDescent="0.25">
      <c r="B8" s="1" t="s">
        <v>2</v>
      </c>
      <c r="C8" s="1" t="s">
        <v>3</v>
      </c>
      <c r="D8" s="1" t="s">
        <v>8</v>
      </c>
      <c r="E8" s="1" t="s">
        <v>23</v>
      </c>
      <c r="F8" s="1" t="s">
        <v>9</v>
      </c>
      <c r="G8" s="1" t="s">
        <v>4</v>
      </c>
      <c r="H8" s="1" t="s">
        <v>24</v>
      </c>
      <c r="I8" s="1" t="s">
        <v>5</v>
      </c>
    </row>
    <row r="9" spans="1:45" x14ac:dyDescent="0.25">
      <c r="B9" s="11">
        <v>45721</v>
      </c>
      <c r="C9" s="1" t="s">
        <v>16</v>
      </c>
      <c r="D9" s="1" t="s">
        <v>18</v>
      </c>
      <c r="E9" s="1">
        <v>15000</v>
      </c>
      <c r="F9" s="3">
        <v>5.75</v>
      </c>
      <c r="G9" s="9">
        <v>2.0999999999999999E-3</v>
      </c>
      <c r="H9" s="12" t="str" cm="1">
        <f t="array" ref="H9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9" s="3">
        <v>86431.125</v>
      </c>
    </row>
    <row r="10" spans="1:45" x14ac:dyDescent="0.25">
      <c r="B10" s="11">
        <v>45721</v>
      </c>
      <c r="C10" s="1" t="s">
        <v>15</v>
      </c>
      <c r="D10" s="1" t="s">
        <v>17</v>
      </c>
      <c r="E10" s="1">
        <v>0.8</v>
      </c>
      <c r="F10" s="3">
        <v>518180</v>
      </c>
      <c r="G10" s="9">
        <v>1.4E-3</v>
      </c>
      <c r="H10" s="12" t="str" cm="1">
        <f t="array" ref="H10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10" s="3">
        <v>415124.3616</v>
      </c>
    </row>
    <row r="11" spans="1:45" x14ac:dyDescent="0.25">
      <c r="B11" s="11">
        <v>45721</v>
      </c>
      <c r="C11" s="1" t="s">
        <v>15</v>
      </c>
      <c r="D11" s="1" t="s">
        <v>17</v>
      </c>
      <c r="E11" s="1">
        <v>0.5</v>
      </c>
      <c r="F11" s="3">
        <v>518180</v>
      </c>
      <c r="G11" s="9">
        <v>1.4E-3</v>
      </c>
      <c r="H11" s="12" t="str" cm="1">
        <f t="array" ref="H11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11" s="3">
        <v>259452.726</v>
      </c>
    </row>
    <row r="12" spans="1:45" x14ac:dyDescent="0.25">
      <c r="B12" s="11">
        <v>45721</v>
      </c>
      <c r="C12" s="1" t="s">
        <v>15</v>
      </c>
      <c r="D12" s="1" t="s">
        <v>17</v>
      </c>
      <c r="E12" s="1">
        <v>8.0000000000000002E-3</v>
      </c>
      <c r="F12" s="3">
        <v>518180</v>
      </c>
      <c r="G12" s="9">
        <v>2E-3</v>
      </c>
      <c r="H12" s="12" t="str" cm="1">
        <f t="array" ref="H12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2" s="3">
        <v>4153.7308800000001</v>
      </c>
    </row>
    <row r="13" spans="1:45" x14ac:dyDescent="0.25">
      <c r="B13" s="11">
        <v>45721</v>
      </c>
      <c r="C13" s="1" t="s">
        <v>15</v>
      </c>
      <c r="D13" s="1" t="s">
        <v>18</v>
      </c>
      <c r="E13" s="1">
        <v>150</v>
      </c>
      <c r="F13" s="3">
        <v>5.75</v>
      </c>
      <c r="G13" s="9">
        <v>1E-3</v>
      </c>
      <c r="H13" s="12" t="str" cm="1">
        <f t="array" ref="H13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3" s="3">
        <v>863.36249999999995</v>
      </c>
    </row>
    <row r="14" spans="1:45" x14ac:dyDescent="0.25">
      <c r="B14" s="11">
        <v>45722</v>
      </c>
      <c r="C14" s="1" t="s">
        <v>15</v>
      </c>
      <c r="D14" s="1" t="s">
        <v>18</v>
      </c>
      <c r="E14" s="1">
        <v>9500</v>
      </c>
      <c r="F14" s="3">
        <v>5.75</v>
      </c>
      <c r="G14" s="9">
        <v>6.9999999999999999E-4</v>
      </c>
      <c r="H14" s="12" t="str" cm="1">
        <f t="array" ref="H14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14" s="3">
        <v>54663.237500000003</v>
      </c>
    </row>
    <row r="15" spans="1:45" x14ac:dyDescent="0.25">
      <c r="B15" s="11">
        <v>45722</v>
      </c>
      <c r="C15" s="1" t="s">
        <v>15</v>
      </c>
      <c r="D15" s="1" t="s">
        <v>18</v>
      </c>
      <c r="E15" s="1">
        <v>12500</v>
      </c>
      <c r="F15" s="3">
        <v>5.75</v>
      </c>
      <c r="G15" s="9">
        <v>6.9999999999999999E-4</v>
      </c>
      <c r="H15" s="12" t="str" cm="1">
        <f t="array" ref="H15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15" s="3">
        <v>71925.3125</v>
      </c>
    </row>
    <row r="16" spans="1:45" x14ac:dyDescent="0.25">
      <c r="B16" s="11">
        <v>45722</v>
      </c>
      <c r="C16" s="1" t="s">
        <v>16</v>
      </c>
      <c r="D16" s="1" t="s">
        <v>17</v>
      </c>
      <c r="E16" s="1">
        <v>0.1</v>
      </c>
      <c r="F16" s="3">
        <v>519994</v>
      </c>
      <c r="G16" s="9">
        <v>5.0000000000000001E-3</v>
      </c>
      <c r="H16" s="12" t="str" cm="1">
        <f t="array" ref="H16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6" s="3">
        <v>52259.397000000004</v>
      </c>
    </row>
    <row r="17" spans="2:9" x14ac:dyDescent="0.25">
      <c r="B17" s="11">
        <v>45722</v>
      </c>
      <c r="C17" s="1" t="s">
        <v>16</v>
      </c>
      <c r="D17" s="1" t="s">
        <v>17</v>
      </c>
      <c r="E17" s="1">
        <v>0.03</v>
      </c>
      <c r="F17" s="3">
        <v>519994</v>
      </c>
      <c r="G17" s="9">
        <v>5.0000000000000001E-3</v>
      </c>
      <c r="H17" s="12" t="str" cm="1">
        <f t="array" ref="H17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7" s="3">
        <v>15677.819099999999</v>
      </c>
    </row>
    <row r="18" spans="2:9" x14ac:dyDescent="0.25">
      <c r="B18" s="11">
        <v>45722</v>
      </c>
      <c r="C18" s="1" t="s">
        <v>15</v>
      </c>
      <c r="D18" s="1" t="s">
        <v>18</v>
      </c>
      <c r="E18" s="1">
        <v>200</v>
      </c>
      <c r="F18" s="3">
        <v>5.75</v>
      </c>
      <c r="G18" s="9">
        <v>1E-3</v>
      </c>
      <c r="H18" s="12" t="str" cm="1">
        <f t="array" ref="H18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8" s="3">
        <v>1151.1500000000001</v>
      </c>
    </row>
    <row r="19" spans="2:9" x14ac:dyDescent="0.25">
      <c r="B19" s="11">
        <v>45722</v>
      </c>
      <c r="C19" s="1" t="s">
        <v>15</v>
      </c>
      <c r="D19" s="1" t="s">
        <v>18</v>
      </c>
      <c r="E19" s="1">
        <v>850</v>
      </c>
      <c r="F19" s="3">
        <v>5.75</v>
      </c>
      <c r="G19" s="9">
        <v>1E-3</v>
      </c>
      <c r="H19" s="12" t="str" cm="1">
        <f t="array" ref="H19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19" s="3">
        <v>4892.3874999999998</v>
      </c>
    </row>
    <row r="20" spans="2:9" x14ac:dyDescent="0.25">
      <c r="B20" s="11">
        <v>45722</v>
      </c>
      <c r="C20" s="1" t="s">
        <v>15</v>
      </c>
      <c r="D20" s="1" t="s">
        <v>18</v>
      </c>
      <c r="E20" s="1">
        <v>900</v>
      </c>
      <c r="F20" s="3">
        <v>5.75</v>
      </c>
      <c r="G20" s="9">
        <v>1E-3</v>
      </c>
      <c r="H20" s="12" t="str" cm="1">
        <f t="array" ref="H20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20" s="3">
        <v>5180.1750000000002</v>
      </c>
    </row>
    <row r="21" spans="2:9" x14ac:dyDescent="0.25">
      <c r="B21" s="11">
        <v>45722</v>
      </c>
      <c r="C21" s="1" t="s">
        <v>15</v>
      </c>
      <c r="D21" s="1" t="s">
        <v>18</v>
      </c>
      <c r="E21" s="1">
        <v>1200</v>
      </c>
      <c r="F21" s="3">
        <v>5.75</v>
      </c>
      <c r="G21" s="9">
        <v>1E-3</v>
      </c>
      <c r="H21" s="12" t="str" cm="1">
        <f t="array" ref="H21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21" s="3">
        <v>6906.9</v>
      </c>
    </row>
    <row r="22" spans="2:9" x14ac:dyDescent="0.25">
      <c r="B22" s="11">
        <v>45722</v>
      </c>
      <c r="C22" s="1" t="s">
        <v>15</v>
      </c>
      <c r="D22" s="1" t="s">
        <v>17</v>
      </c>
      <c r="E22" s="1">
        <v>0.05</v>
      </c>
      <c r="F22" s="3">
        <v>519994</v>
      </c>
      <c r="G22" s="9">
        <v>2E-3</v>
      </c>
      <c r="H22" s="12" t="str" cm="1">
        <f t="array" ref="H22">IF(t_Hist_Simul_Tran[[#This Row],[Valor]]&gt;=_xlfn.XLOOKUP(1,(t_Taxa_Tran[Tipo_Transação]=t_Hist_Simul_Tran[[#This Row],[Tipo]])*(t_Taxa_Tran[Nm_Moeda]=t_Hist_Simul_Tran[[#This Row],[Moeda]]),t_Taxa_Tran[Rng_Desconto],"-",0,1),"Sim","Não")</f>
        <v>Não</v>
      </c>
      <c r="I22" s="3">
        <v>26051.699400000001</v>
      </c>
    </row>
    <row r="23" spans="2:9" x14ac:dyDescent="0.25">
      <c r="B23" s="11">
        <v>45722</v>
      </c>
      <c r="C23" s="1" t="s">
        <v>15</v>
      </c>
      <c r="D23" s="1" t="s">
        <v>17</v>
      </c>
      <c r="E23" s="1">
        <v>0.7</v>
      </c>
      <c r="F23" s="3">
        <v>510906</v>
      </c>
      <c r="G23" s="9">
        <v>1.4E-3</v>
      </c>
      <c r="H23" s="12" t="str" cm="1">
        <f t="array" ref="H23">IF(t_Hist_Simul_Tran[[#This Row],[Valor]]&gt;=_xlfn.XLOOKUP(1,(t_Taxa_Tran[Tipo_Transação]=t_Hist_Simul_Tran[[#This Row],[Tipo]])*(t_Taxa_Tran[Nm_Moeda]=t_Hist_Simul_Tran[[#This Row],[Moeda]]),t_Taxa_Tran[Rng_Desconto],"-",0,1),"Sim","Não")</f>
        <v>Sim</v>
      </c>
      <c r="I23" s="3">
        <v>358134.88787999999</v>
      </c>
    </row>
  </sheetData>
  <conditionalFormatting sqref="E9:E23">
    <cfRule type="expression" dxfId="1" priority="1">
      <formula>$D9="Bitcoin"</formula>
    </cfRule>
    <cfRule type="expression" dxfId="0" priority="2">
      <formula>$D9="Dólar"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autoFill="0" autoPict="0" macro="[0]!open_form">
                <anchor>
                  <from>
                    <xdr:col>1</xdr:col>
                    <xdr:colOff>371475</xdr:colOff>
                    <xdr:row>3</xdr:row>
                    <xdr:rowOff>0</xdr:rowOff>
                  </from>
                  <to>
                    <xdr:col>2</xdr:col>
                    <xdr:colOff>809625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autoFill="0" autoPict="0" macro="[0]!refresh_btc_usd">
                <anchor>
                  <from>
                    <xdr:col>3</xdr:col>
                    <xdr:colOff>57150</xdr:colOff>
                    <xdr:row>3</xdr:row>
                    <xdr:rowOff>0</xdr:rowOff>
                  </from>
                  <to>
                    <xdr:col>4</xdr:col>
                    <xdr:colOff>495300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468508-8496-46BD-8C25-01B5744128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Hist_Cotações</vt:lpstr>
      <vt:lpstr>Aux_Cotações</vt:lpstr>
      <vt:lpstr>Aux_Controle</vt:lpstr>
      <vt:lpstr>Controle</vt:lpstr>
      <vt:lpstr>fx_tipo_moeda</vt:lpstr>
      <vt:lpstr>fx_tipo_tran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Ernane Junior</dc:creator>
  <cp:lastModifiedBy>Ernane Junior</cp:lastModifiedBy>
  <cp:lastPrinted>2025-03-02T15:56:20Z</cp:lastPrinted>
  <dcterms:created xsi:type="dcterms:W3CDTF">2025-02-24T21:08:00Z</dcterms:created>
  <dcterms:modified xsi:type="dcterms:W3CDTF">2025-03-06T19:52:40Z</dcterms:modified>
</cp:coreProperties>
</file>